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virgi\Desktop\PAOLO\gestionale-ordini\.tmp\"/>
    </mc:Choice>
  </mc:AlternateContent>
  <xr:revisionPtr revIDLastSave="0" documentId="8_{0FBE2BD0-1C4C-49DC-9ACD-06250802F602}" xr6:coauthVersionLast="47" xr6:coauthVersionMax="47" xr10:uidLastSave="{00000000-0000-0000-0000-000000000000}"/>
  <bookViews>
    <workbookView xWindow="3510" yWindow="3510" windowWidth="21600" windowHeight="11295" tabRatio="614" xr2:uid="{00000000-000D-0000-FFFF-FFFF00000000}"/>
  </bookViews>
  <sheets>
    <sheet name="GESTIONE" sheetId="3" r:id="rId1"/>
    <sheet name="GUARDAROBA" sheetId="2" r:id="rId2"/>
    <sheet name="RESOCONTO PROPRIETA" sheetId="7" r:id="rId3"/>
    <sheet name="PRESENZE PERSONALE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8" l="1"/>
  <c r="F105" i="3" l="1"/>
  <c r="E97" i="3"/>
  <c r="E93" i="3"/>
  <c r="F88" i="3"/>
  <c r="D15" i="3"/>
  <c r="D42" i="3"/>
  <c r="R4" i="3" l="1"/>
  <c r="F80" i="3" l="1"/>
  <c r="L9" i="3"/>
  <c r="L8" i="3"/>
  <c r="L7" i="3"/>
  <c r="L6" i="3"/>
  <c r="L5" i="3"/>
  <c r="L4" i="3"/>
  <c r="F96" i="3"/>
  <c r="D56" i="3"/>
  <c r="B25" i="7" s="1"/>
  <c r="K15" i="3" l="1"/>
  <c r="K14" i="3" s="1"/>
  <c r="F100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46" i="3"/>
  <c r="F87" i="3"/>
  <c r="F90" i="3"/>
  <c r="R45" i="3" l="1"/>
  <c r="R70" i="3"/>
  <c r="R69" i="3"/>
  <c r="Q71" i="3"/>
  <c r="D51" i="3" l="1"/>
  <c r="B32" i="7"/>
  <c r="D54" i="3"/>
  <c r="R31" i="3"/>
  <c r="D53" i="3" s="1"/>
  <c r="T3" i="3" l="1"/>
  <c r="D12" i="2" l="1"/>
  <c r="K105" i="3"/>
  <c r="J51" i="3" s="1"/>
  <c r="F104" i="3"/>
  <c r="F103" i="3"/>
  <c r="F102" i="3"/>
  <c r="F99" i="3"/>
  <c r="F98" i="3"/>
  <c r="F95" i="3"/>
  <c r="F94" i="3"/>
  <c r="F92" i="3"/>
  <c r="L91" i="3"/>
  <c r="J45" i="3" s="1"/>
  <c r="F91" i="3"/>
  <c r="F86" i="3"/>
  <c r="F85" i="3"/>
  <c r="J52" i="3"/>
  <c r="P78" i="3" s="1"/>
  <c r="J50" i="3"/>
  <c r="J49" i="3"/>
  <c r="R71" i="3"/>
  <c r="F81" i="3" s="1"/>
  <c r="F36" i="3"/>
  <c r="F35" i="3"/>
  <c r="F34" i="3"/>
  <c r="F33" i="3"/>
  <c r="F32" i="3"/>
  <c r="Q39" i="3"/>
  <c r="L31" i="3"/>
  <c r="D50" i="3" s="1"/>
  <c r="F31" i="3"/>
  <c r="L21" i="3"/>
  <c r="F21" i="3"/>
  <c r="L20" i="3"/>
  <c r="F20" i="3"/>
  <c r="R19" i="3"/>
  <c r="D52" i="3" s="1"/>
  <c r="L19" i="3"/>
  <c r="F19" i="3"/>
  <c r="L18" i="3"/>
  <c r="F9" i="3"/>
  <c r="F8" i="3"/>
  <c r="F7" i="3"/>
  <c r="F6" i="3"/>
  <c r="F5" i="3"/>
  <c r="Q12" i="3"/>
  <c r="F4" i="3"/>
  <c r="Q24" i="3" l="1"/>
  <c r="E89" i="3"/>
  <c r="E101" i="3"/>
  <c r="K27" i="3"/>
  <c r="D49" i="3" s="1"/>
  <c r="E27" i="3"/>
  <c r="D46" i="3" s="1"/>
  <c r="E79" i="3"/>
  <c r="B4" i="7" s="1"/>
  <c r="E42" i="3"/>
  <c r="D47" i="3" s="1"/>
  <c r="E15" i="3"/>
  <c r="L52" i="3"/>
  <c r="K39" i="3"/>
  <c r="D9" i="2"/>
  <c r="B16" i="2"/>
  <c r="J48" i="3" l="1"/>
  <c r="E14" i="3"/>
  <c r="D45" i="3"/>
  <c r="E26" i="3"/>
  <c r="J46" i="3"/>
  <c r="K26" i="3"/>
  <c r="D48" i="3"/>
  <c r="E41" i="3"/>
  <c r="D57" i="3" l="1"/>
  <c r="E74" i="3" s="1"/>
  <c r="J53" i="3" l="1"/>
  <c r="J44" i="3"/>
  <c r="D3" i="2"/>
  <c r="D4" i="2"/>
  <c r="J47" i="3" l="1"/>
  <c r="L46" i="3" s="1"/>
  <c r="B3" i="7"/>
  <c r="L50" i="3"/>
  <c r="T6" i="3"/>
  <c r="T9" i="3" s="1"/>
  <c r="D5" i="2"/>
  <c r="D16" i="2" s="1"/>
  <c r="B5" i="7" s="1"/>
  <c r="B21" i="7" l="1"/>
  <c r="B34" i="7" s="1"/>
  <c r="L48" i="3"/>
  <c r="O76" i="3"/>
</calcChain>
</file>

<file path=xl/sharedStrings.xml><?xml version="1.0" encoding="utf-8"?>
<sst xmlns="http://schemas.openxmlformats.org/spreadsheetml/2006/main" count="261" uniqueCount="152">
  <si>
    <t>INCASSO</t>
  </si>
  <si>
    <t>POS</t>
  </si>
  <si>
    <t>ARTISTICO</t>
  </si>
  <si>
    <t>CONSUMATO</t>
  </si>
  <si>
    <t>PERSONALE</t>
  </si>
  <si>
    <t>TOTALE</t>
  </si>
  <si>
    <t xml:space="preserve">FITTO-ACCORDO  </t>
  </si>
  <si>
    <t xml:space="preserve">TIPOLOGIA </t>
  </si>
  <si>
    <t>NUM.</t>
  </si>
  <si>
    <t>TOT COSTO</t>
  </si>
  <si>
    <t>PULIZIE</t>
  </si>
  <si>
    <t>SIAE</t>
  </si>
  <si>
    <t>COSTO</t>
  </si>
  <si>
    <t>N°</t>
  </si>
  <si>
    <t>SICUREZZA Agenzia</t>
  </si>
  <si>
    <t xml:space="preserve"> </t>
  </si>
  <si>
    <t>BARMAN</t>
  </si>
  <si>
    <t>CEDOLINI</t>
  </si>
  <si>
    <t>BAGNI</t>
  </si>
  <si>
    <t>DRINK OMAGGIO</t>
  </si>
  <si>
    <t>SICUREZZA PS</t>
  </si>
  <si>
    <t>GRANDI VOCI</t>
  </si>
  <si>
    <t>UTILE GESTIONE</t>
  </si>
  <si>
    <t>SPESE TOTALI</t>
  </si>
  <si>
    <t>I CONSUMAZIONE</t>
  </si>
  <si>
    <t>II CONSUMAZIONE</t>
  </si>
  <si>
    <t>ACQUA</t>
  </si>
  <si>
    <t>TIPOLOGIA</t>
  </si>
  <si>
    <t>PREZZO</t>
  </si>
  <si>
    <t>TOTALI</t>
  </si>
  <si>
    <t>A VOCE</t>
  </si>
  <si>
    <t>SPESE ARTISTICHE</t>
  </si>
  <si>
    <t>CONSUMATO TAVOLI</t>
  </si>
  <si>
    <t>CONSUMATO BAR</t>
  </si>
  <si>
    <t>SPESE DEL PERSONALE</t>
  </si>
  <si>
    <t xml:space="preserve">Incasso Totale  </t>
  </si>
  <si>
    <t>LA GESTIONE DEVE AVERE IN CASH</t>
  </si>
  <si>
    <t>Consumato Tavoli</t>
  </si>
  <si>
    <t>Totale Spese Artistiche</t>
  </si>
  <si>
    <t>Totale Spese del Personale</t>
  </si>
  <si>
    <t>Totale Spese Gestione</t>
  </si>
  <si>
    <t>MANSIONE</t>
  </si>
  <si>
    <t>BARBACK</t>
  </si>
  <si>
    <t>Di cui POS</t>
  </si>
  <si>
    <t>BAR LATERALE</t>
  </si>
  <si>
    <t>CARD 10</t>
  </si>
  <si>
    <t>CARD 15</t>
  </si>
  <si>
    <t>CARD 20</t>
  </si>
  <si>
    <t>CARD 25</t>
  </si>
  <si>
    <t>BOTTEGHINO LISTA 2</t>
  </si>
  <si>
    <t>SOSPESO</t>
  </si>
  <si>
    <t>CONTANTE</t>
  </si>
  <si>
    <t>SOSPESI TVL</t>
  </si>
  <si>
    <t>A CUI VA AGGIUNTO</t>
  </si>
  <si>
    <t>DI SOSPESO</t>
  </si>
  <si>
    <t>TICKET</t>
  </si>
  <si>
    <t>SOSPESO TAVOLI</t>
  </si>
  <si>
    <t>LAVAGGIO</t>
  </si>
  <si>
    <t>LORDO GESTIONE</t>
  </si>
  <si>
    <t>PRELIEVO 1</t>
  </si>
  <si>
    <t>PRELIEVO 2</t>
  </si>
  <si>
    <t>PRELIEVO 3</t>
  </si>
  <si>
    <t>PRELIEVO 4</t>
  </si>
  <si>
    <t xml:space="preserve">SALDO </t>
  </si>
  <si>
    <t>NETTO PROPRIETA'</t>
  </si>
  <si>
    <t>TOTALE SALA</t>
  </si>
  <si>
    <t>TOTALE SICUREZZA</t>
  </si>
  <si>
    <t>TOTALE BAR</t>
  </si>
  <si>
    <t>TOTALE CASSE</t>
  </si>
  <si>
    <t>TAVOLI CAMBUSA CENTRALE LAURA</t>
  </si>
  <si>
    <t>BAR</t>
  </si>
  <si>
    <t>BOTTEGHINO TAVOLI 1 MARIA</t>
  </si>
  <si>
    <t>GUARDAROBA</t>
  </si>
  <si>
    <t>CAPO €5</t>
  </si>
  <si>
    <t>CAPO €2</t>
  </si>
  <si>
    <t>CICCHETTO</t>
  </si>
  <si>
    <t>PREMIUM</t>
  </si>
  <si>
    <t>USCITA VODKA</t>
  </si>
  <si>
    <t>USCITA RUM</t>
  </si>
  <si>
    <t xml:space="preserve">ACCONTO </t>
  </si>
  <si>
    <t>CASSIERE</t>
  </si>
  <si>
    <t>PALMARE</t>
  </si>
  <si>
    <t xml:space="preserve">CAMBUSIERE </t>
  </si>
  <si>
    <t xml:space="preserve">SALDO       </t>
  </si>
  <si>
    <t>GIN MARE</t>
  </si>
  <si>
    <t>MOET NIR</t>
  </si>
  <si>
    <t>SAMBUCA</t>
  </si>
  <si>
    <t>CONTABILITA'</t>
  </si>
  <si>
    <t>OPERATORE</t>
  </si>
  <si>
    <t>CONTANTE PRELEVATO</t>
  </si>
  <si>
    <t>SPESE PAGATE</t>
  </si>
  <si>
    <t>RIMANENZA CASH</t>
  </si>
  <si>
    <t>INGRESSO TAVOLO</t>
  </si>
  <si>
    <t>PRELIEVO 5</t>
  </si>
  <si>
    <t>PRELIEVO 6</t>
  </si>
  <si>
    <t>PRELIEVO 7</t>
  </si>
  <si>
    <t>NETTO</t>
  </si>
  <si>
    <t>VDK FRUTTA</t>
  </si>
  <si>
    <t>MUMM 1,50</t>
  </si>
  <si>
    <t>MUMM 0,70</t>
  </si>
  <si>
    <t>MOET 0,70</t>
  </si>
  <si>
    <t>MOET ICE 0,70</t>
  </si>
  <si>
    <t>MOET ICE 1,50</t>
  </si>
  <si>
    <t>DOMPERIGNON 0,70</t>
  </si>
  <si>
    <t>PROSECCO</t>
  </si>
  <si>
    <t>UTILE NONAME</t>
  </si>
  <si>
    <t>RESPONSABILE BAR</t>
  </si>
  <si>
    <t>SPESE TECNICHE</t>
  </si>
  <si>
    <t>I e II CONSUMAZIONE</t>
  </si>
  <si>
    <t>CRISTAL 0,75</t>
  </si>
  <si>
    <t>MOET NIR 1,5</t>
  </si>
  <si>
    <t>TANQUERAY TEN</t>
  </si>
  <si>
    <t>BELUGA NIGHT</t>
  </si>
  <si>
    <t>RIENTRI E ACCONTI</t>
  </si>
  <si>
    <t>RESIDUO CONTANTE</t>
  </si>
  <si>
    <t>DIRETTORE</t>
  </si>
  <si>
    <t xml:space="preserve">CONSUMATO TOTALE </t>
  </si>
  <si>
    <t>BAR 1</t>
  </si>
  <si>
    <t xml:space="preserve">BAR 2 </t>
  </si>
  <si>
    <t>CAMBUSA 1</t>
  </si>
  <si>
    <t>INGRESSO TVL</t>
  </si>
  <si>
    <t>COMUNICAZIONE</t>
  </si>
  <si>
    <t>POS SERATA</t>
  </si>
  <si>
    <t>BELVEDERE 0,7</t>
  </si>
  <si>
    <t>MALFY</t>
  </si>
  <si>
    <t>ALTOS</t>
  </si>
  <si>
    <t>CASAMIGOS</t>
  </si>
  <si>
    <t>BERLUCCHI</t>
  </si>
  <si>
    <t>BAR 3</t>
  </si>
  <si>
    <t>CAMBUSA 2</t>
  </si>
  <si>
    <t>ONLINE</t>
  </si>
  <si>
    <t>NETTO GUARDAROBA</t>
  </si>
  <si>
    <t>FITTO</t>
  </si>
  <si>
    <t>DIREZIONE</t>
  </si>
  <si>
    <t>ASSUNZIONI SICUREZZA</t>
  </si>
  <si>
    <t xml:space="preserve">  </t>
  </si>
  <si>
    <t>BONIFICI PERSONALE</t>
  </si>
  <si>
    <t>POS GUARDAROBA</t>
  </si>
  <si>
    <t>BELVEDERE 3L</t>
  </si>
  <si>
    <t>ARMAND DE BRIGNAC</t>
  </si>
  <si>
    <t>VJ</t>
  </si>
  <si>
    <t>CO2</t>
  </si>
  <si>
    <t>STACCO</t>
  </si>
  <si>
    <t>SUPPORTO SICUREZZA E VIABILITA'</t>
  </si>
  <si>
    <t>BOTTEGHINO LISTA</t>
  </si>
  <si>
    <t>BOTTEGHINO TAVOLI</t>
  </si>
  <si>
    <t>ABSOLUT</t>
  </si>
  <si>
    <t>BELVEDERE 1,75L</t>
  </si>
  <si>
    <t>BAR PREMIUM</t>
  </si>
  <si>
    <t>BAR 2</t>
  </si>
  <si>
    <t>RESOCONTO PROPRIETA' 01.01.25</t>
  </si>
  <si>
    <t>01.01.2025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</si>
</sst>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\ _€_-;\-* #,##0.00\ _€_-;_-* &quot;-&quot;??\ _€_-;_-@_-"/>
    <numFmt numFmtId="165" formatCode="_-&quot;€ &quot;* #,##0.00_-;&quot;-€ &quot;* #,##0.00_-;_-&quot;€ &quot;* \-??_-;_-@_-"/>
    <numFmt numFmtId="166" formatCode="&quot;€ &quot;#,##0"/>
    <numFmt numFmtId="167" formatCode="#,##0\ [$€-1];[Red]\-#,##0\ [$€-1]"/>
    <numFmt numFmtId="168" formatCode="&quot;€ &quot;#,##0.00"/>
    <numFmt numFmtId="169" formatCode="#,##0_ ;\-#,##0\ "/>
    <numFmt numFmtId="170" formatCode="_-&quot;€ &quot;* #,##0_-;&quot;-€ &quot;* #,##0_-;_-&quot;€ &quot;* \-??_-;_-@_-"/>
    <numFmt numFmtId="171" formatCode="#,##0\ _€"/>
    <numFmt numFmtId="172" formatCode="#,##0\ &quot;€&quot;"/>
    <numFmt numFmtId="173" formatCode="#,##0\ &quot;€&quot;;[Red]#,##0\ &quot;€&quot;"/>
    <numFmt numFmtId="174" formatCode="#,##0.00\ &quot;€&quot;"/>
    <numFmt numFmtId="175" formatCode="&quot;€&quot;\ #,##0.00"/>
  </numFmts>
  <fonts count="13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  <charset val="1"/>
    </font>
    <font>
      <sz val="10"/>
      <name val="Lucida Sans"/>
      <family val="2"/>
    </font>
    <font>
      <sz val="9"/>
      <color indexed="8"/>
      <name val="Calibri"/>
      <family val="2"/>
      <charset val="1"/>
    </font>
    <font>
      <b/>
      <sz val="18"/>
      <color indexed="8"/>
      <name val="Calibri"/>
      <family val="2"/>
      <charset val="1"/>
    </font>
    <font>
      <sz val="18"/>
      <color indexed="8"/>
      <name val="Calibri"/>
      <family val="2"/>
      <charset val="1"/>
    </font>
    <font>
      <b/>
      <sz val="16"/>
      <color indexed="8"/>
      <name val="Calibri"/>
      <family val="2"/>
      <charset val="1"/>
    </font>
    <font>
      <sz val="20"/>
      <color indexed="8"/>
      <name val="Calibri"/>
      <family val="2"/>
      <charset val="1"/>
    </font>
    <font>
      <b/>
      <sz val="20"/>
      <color indexed="22"/>
      <name val="Calibri"/>
      <family val="2"/>
      <charset val="1"/>
    </font>
    <font>
      <sz val="16"/>
      <color indexed="8"/>
      <name val="Calibri"/>
      <family val="2"/>
      <charset val="1"/>
    </font>
    <font>
      <b/>
      <sz val="22"/>
      <color indexed="8"/>
      <name val="Calibri"/>
      <family val="2"/>
      <charset val="1"/>
    </font>
    <font>
      <b/>
      <sz val="20"/>
      <name val="Calibri"/>
      <family val="2"/>
      <charset val="1"/>
    </font>
    <font>
      <sz val="20"/>
      <name val="Calibri"/>
      <family val="2"/>
      <charset val="1"/>
    </font>
    <font>
      <sz val="18"/>
      <color indexed="16"/>
      <name val="Calibri"/>
      <family val="2"/>
      <charset val="1"/>
    </font>
    <font>
      <sz val="11"/>
      <color indexed="22"/>
      <name val="Calibri"/>
      <family val="2"/>
      <charset val="1"/>
    </font>
    <font>
      <b/>
      <sz val="20"/>
      <color indexed="10"/>
      <name val="Calibri"/>
      <family val="2"/>
      <charset val="1"/>
    </font>
    <font>
      <b/>
      <sz val="18"/>
      <name val="Calibri"/>
      <family val="2"/>
      <charset val="1"/>
    </font>
    <font>
      <b/>
      <sz val="18"/>
      <color indexed="10"/>
      <name val="Calibri"/>
      <family val="2"/>
      <charset val="1"/>
    </font>
    <font>
      <sz val="18"/>
      <name val="Calibri"/>
      <family val="2"/>
      <charset val="1"/>
    </font>
    <font>
      <b/>
      <sz val="20"/>
      <color indexed="24"/>
      <name val="Calibri"/>
      <family val="2"/>
      <charset val="1"/>
    </font>
    <font>
      <sz val="14"/>
      <color indexed="8"/>
      <name val="Calibri"/>
      <family val="2"/>
      <charset val="1"/>
    </font>
    <font>
      <sz val="20"/>
      <color indexed="24"/>
      <name val="Calibri"/>
      <family val="2"/>
      <charset val="1"/>
    </font>
    <font>
      <sz val="20"/>
      <color indexed="22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i/>
      <sz val="16"/>
      <color indexed="25"/>
      <name val="Calibri"/>
      <family val="2"/>
      <charset val="1"/>
    </font>
    <font>
      <sz val="11"/>
      <color indexed="8"/>
      <name val="Calibri"/>
      <family val="2"/>
      <charset val="1"/>
    </font>
    <font>
      <b/>
      <sz val="12"/>
      <color indexed="8"/>
      <name val="Calibri"/>
      <family val="2"/>
      <charset val="1"/>
    </font>
    <font>
      <b/>
      <sz val="12"/>
      <color indexed="30"/>
      <name val="Calibri"/>
      <family val="2"/>
      <charset val="1"/>
    </font>
    <font>
      <b/>
      <sz val="11"/>
      <color indexed="21"/>
      <name val="Calibri"/>
      <family val="2"/>
      <charset val="1"/>
    </font>
    <font>
      <b/>
      <sz val="14"/>
      <color indexed="8"/>
      <name val="Calibri"/>
      <family val="2"/>
      <charset val="1"/>
    </font>
    <font>
      <b/>
      <sz val="10"/>
      <color indexed="8"/>
      <name val="Calibri"/>
      <family val="2"/>
      <charset val="1"/>
    </font>
    <font>
      <sz val="20"/>
      <color indexed="8"/>
      <name val="Verdana"/>
      <family val="2"/>
      <charset val="1"/>
    </font>
    <font>
      <sz val="11"/>
      <name val="Calibri"/>
      <family val="2"/>
      <charset val="1"/>
    </font>
    <font>
      <sz val="11"/>
      <color indexed="10"/>
      <name val="Calibri"/>
      <family val="2"/>
      <charset val="1"/>
    </font>
    <font>
      <b/>
      <sz val="20"/>
      <color indexed="62"/>
      <name val="Calibri"/>
      <family val="2"/>
      <charset val="1"/>
    </font>
    <font>
      <b/>
      <sz val="20"/>
      <name val="Arial"/>
      <family val="2"/>
      <charset val="1"/>
    </font>
    <font>
      <sz val="20"/>
      <name val="Calibri"/>
      <family val="2"/>
    </font>
    <font>
      <b/>
      <sz val="20"/>
      <name val="Calibri"/>
      <family val="2"/>
    </font>
    <font>
      <b/>
      <sz val="24"/>
      <color theme="0"/>
      <name val="Calibri"/>
      <family val="2"/>
      <charset val="1"/>
    </font>
    <font>
      <sz val="24"/>
      <name val="Arial"/>
      <family val="2"/>
    </font>
    <font>
      <b/>
      <sz val="20"/>
      <color indexed="8"/>
      <name val="Calibri"/>
      <family val="2"/>
    </font>
    <font>
      <b/>
      <sz val="20"/>
      <color theme="0"/>
      <name val="Calibri"/>
      <family val="2"/>
    </font>
    <font>
      <b/>
      <sz val="22"/>
      <color theme="0"/>
      <name val="Calibri"/>
      <family val="2"/>
      <charset val="1"/>
    </font>
    <font>
      <sz val="10"/>
      <color theme="0"/>
      <name val="Arial"/>
      <family val="2"/>
    </font>
    <font>
      <b/>
      <sz val="20"/>
      <color theme="0"/>
      <name val="Calibri"/>
      <family val="2"/>
      <charset val="1"/>
    </font>
    <font>
      <b/>
      <sz val="18"/>
      <color theme="0"/>
      <name val="Calibri"/>
      <family val="2"/>
      <charset val="1"/>
    </font>
    <font>
      <b/>
      <sz val="18"/>
      <color theme="4" tint="-0.249977111117893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36"/>
      <color theme="0"/>
      <name val="Calibri"/>
      <family val="2"/>
      <charset val="1"/>
    </font>
    <font>
      <sz val="36"/>
      <name val="Arial"/>
      <family val="2"/>
    </font>
    <font>
      <b/>
      <sz val="24"/>
      <color theme="0"/>
      <name val="Arial"/>
      <family val="2"/>
      <charset val="1"/>
    </font>
    <font>
      <sz val="24"/>
      <name val="Arial"/>
      <family val="2"/>
      <charset val="1"/>
    </font>
    <font>
      <b/>
      <i/>
      <sz val="20"/>
      <color indexed="25"/>
      <name val="Calibri"/>
      <family val="2"/>
      <charset val="1"/>
    </font>
    <font>
      <b/>
      <sz val="18"/>
      <color indexed="25"/>
      <name val="Calibri"/>
      <family val="2"/>
    </font>
    <font>
      <sz val="20"/>
      <color theme="0"/>
      <name val="Calibri"/>
      <family val="2"/>
      <charset val="1"/>
    </font>
    <font>
      <b/>
      <sz val="20"/>
      <color rgb="FFFF0000"/>
      <name val="Calibri"/>
      <family val="2"/>
      <charset val="1"/>
    </font>
    <font>
      <sz val="20"/>
      <color rgb="FFFF0000"/>
      <name val="Calibri"/>
      <family val="2"/>
      <charset val="1"/>
    </font>
    <font>
      <b/>
      <sz val="18"/>
      <color rgb="FF00B050"/>
      <name val="Calibri"/>
      <family val="2"/>
      <charset val="1"/>
    </font>
    <font>
      <sz val="18"/>
      <color rgb="FF00B050"/>
      <name val="Arial"/>
      <family val="2"/>
    </font>
    <font>
      <sz val="20"/>
      <color rgb="FF00B050"/>
      <name val="Calibri"/>
      <family val="2"/>
      <charset val="1"/>
    </font>
    <font>
      <b/>
      <sz val="20"/>
      <color rgb="FF00B050"/>
      <name val="Calibri"/>
      <family val="2"/>
      <charset val="1"/>
    </font>
    <font>
      <b/>
      <sz val="16"/>
      <color indexed="25"/>
      <name val="Calibri"/>
      <family val="2"/>
    </font>
    <font>
      <b/>
      <sz val="16"/>
      <color theme="0"/>
      <name val="Calibri"/>
      <family val="2"/>
      <charset val="1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b/>
      <sz val="26"/>
      <color rgb="FF0070C0"/>
      <name val="Calibri"/>
      <family val="2"/>
      <charset val="1"/>
    </font>
    <font>
      <sz val="10"/>
      <color rgb="FF0070C0"/>
      <name val="Arial"/>
      <family val="2"/>
    </font>
    <font>
      <b/>
      <sz val="22"/>
      <color rgb="FF0070C0"/>
      <name val="Calibri"/>
      <family val="2"/>
      <charset val="1"/>
    </font>
    <font>
      <sz val="22"/>
      <color rgb="FF0070C0"/>
      <name val="Arial"/>
      <family val="2"/>
    </font>
    <font>
      <b/>
      <sz val="28"/>
      <color rgb="FF0070C0"/>
      <name val="Calibri"/>
      <family val="2"/>
      <charset val="1"/>
    </font>
    <font>
      <b/>
      <sz val="20"/>
      <color rgb="FF0070C0"/>
      <name val="Calibri"/>
      <family val="2"/>
      <charset val="1"/>
    </font>
    <font>
      <b/>
      <sz val="24"/>
      <color rgb="FF0070C0"/>
      <name val="Calibri"/>
      <family val="2"/>
      <charset val="1"/>
    </font>
    <font>
      <b/>
      <sz val="16"/>
      <color theme="0"/>
      <name val="Calibri"/>
      <family val="2"/>
    </font>
    <font>
      <b/>
      <sz val="18"/>
      <color indexed="8"/>
      <name val="Calibri"/>
      <family val="2"/>
    </font>
    <font>
      <b/>
      <sz val="14"/>
      <color theme="0"/>
      <name val="Arial"/>
      <family val="2"/>
      <charset val="1"/>
    </font>
    <font>
      <sz val="14"/>
      <name val="Arial"/>
      <family val="2"/>
      <charset val="1"/>
    </font>
    <font>
      <sz val="8"/>
      <name val="Arial"/>
      <family val="2"/>
    </font>
    <font>
      <b/>
      <sz val="16"/>
      <color rgb="FF0070C0"/>
      <name val="Arial"/>
      <family val="2"/>
    </font>
    <font>
      <b/>
      <sz val="20"/>
      <color rgb="FF0070C0"/>
      <name val="Calibri"/>
      <family val="2"/>
    </font>
    <font>
      <b/>
      <sz val="10"/>
      <color rgb="FF0070C0"/>
      <name val="Arial"/>
      <family val="2"/>
    </font>
    <font>
      <sz val="14"/>
      <name val="Arial"/>
      <family val="2"/>
    </font>
    <font>
      <sz val="20"/>
      <name val="Arial"/>
      <family val="2"/>
    </font>
    <font>
      <sz val="16"/>
      <name val="Arial"/>
      <family val="2"/>
    </font>
    <font>
      <b/>
      <sz val="26"/>
      <color theme="0" tint="-0.14999847407452621"/>
      <name val="Calibri"/>
      <family val="2"/>
      <charset val="1"/>
    </font>
    <font>
      <sz val="10"/>
      <color theme="0" tint="-0.14999847407452621"/>
      <name val="Arial"/>
      <family val="2"/>
    </font>
    <font>
      <b/>
      <i/>
      <sz val="16"/>
      <color theme="0" tint="-0.14999847407452621"/>
      <name val="Calibri"/>
      <family val="2"/>
      <charset val="1"/>
    </font>
    <font>
      <b/>
      <sz val="20"/>
      <color theme="0" tint="-0.14999847407452621"/>
      <name val="Calibri"/>
      <family val="2"/>
      <charset val="1"/>
    </font>
    <font>
      <b/>
      <sz val="18"/>
      <color theme="0" tint="-0.14999847407452621"/>
      <name val="Calibri"/>
      <family val="2"/>
      <charset val="1"/>
    </font>
    <font>
      <b/>
      <sz val="20"/>
      <color theme="0" tint="-0.14999847407452621"/>
      <name val="Calibri"/>
      <family val="2"/>
    </font>
    <font>
      <b/>
      <sz val="16"/>
      <color theme="0" tint="-0.14999847407452621"/>
      <name val="Arial"/>
      <family val="2"/>
    </font>
    <font>
      <sz val="20"/>
      <color theme="0" tint="-0.14999847407452621"/>
      <name val="Calibri"/>
      <family val="2"/>
      <charset val="1"/>
    </font>
    <font>
      <b/>
      <sz val="24"/>
      <color theme="0" tint="-0.14999847407452621"/>
      <name val="Calibri"/>
      <family val="2"/>
      <charset val="1"/>
    </font>
    <font>
      <sz val="24"/>
      <color theme="0" tint="-0.14999847407452621"/>
      <name val="Arial"/>
      <family val="2"/>
    </font>
    <font>
      <b/>
      <sz val="16"/>
      <color theme="0" tint="-0.14999847407452621"/>
      <name val="Calibri"/>
      <family val="2"/>
    </font>
    <font>
      <b/>
      <sz val="28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b/>
      <sz val="16"/>
      <name val="Calibri"/>
      <family val="2"/>
    </font>
    <font>
      <b/>
      <sz val="26"/>
      <color theme="0"/>
      <name val="Calibri"/>
      <family val="2"/>
      <charset val="1"/>
    </font>
    <font>
      <sz val="24"/>
      <color theme="0"/>
      <name val="Arial"/>
      <family val="2"/>
    </font>
    <font>
      <b/>
      <i/>
      <sz val="16"/>
      <color theme="0"/>
      <name val="Calibri"/>
      <family val="2"/>
      <charset val="1"/>
    </font>
    <font>
      <b/>
      <sz val="18"/>
      <color rgb="FF0070C0"/>
      <name val="Calibri"/>
      <family val="2"/>
      <charset val="1"/>
    </font>
    <font>
      <b/>
      <sz val="10"/>
      <name val="Arial"/>
      <family val="2"/>
    </font>
    <font>
      <b/>
      <sz val="26"/>
      <color theme="1"/>
      <name val="Calibri"/>
      <family val="2"/>
      <charset val="1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i/>
      <sz val="18"/>
      <color theme="3" tint="0.79998168889431442"/>
      <name val="Calibri"/>
      <family val="2"/>
      <charset val="1"/>
    </font>
    <font>
      <b/>
      <sz val="20"/>
      <color theme="3" tint="0.79998168889431442"/>
      <name val="Calibri"/>
      <family val="2"/>
      <charset val="1"/>
    </font>
    <font>
      <sz val="10"/>
      <color theme="3" tint="0.79998168889431442"/>
      <name val="Arial"/>
      <family val="2"/>
    </font>
    <font>
      <b/>
      <i/>
      <sz val="20"/>
      <color theme="3" tint="0.79998168889431442"/>
      <name val="Calibri"/>
      <family val="2"/>
      <charset val="1"/>
    </font>
    <font>
      <b/>
      <sz val="18"/>
      <name val="Arial"/>
      <family val="2"/>
    </font>
    <font>
      <b/>
      <sz val="10"/>
      <color rgb="FF00B050"/>
      <name val="Arial"/>
      <family val="2"/>
    </font>
    <font>
      <b/>
      <sz val="1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rgb="FF0070C0"/>
      <name val="Calibri"/>
      <family val="2"/>
      <charset val="1"/>
    </font>
    <font>
      <sz val="10"/>
      <name val="Arial"/>
      <family val="2"/>
    </font>
    <font>
      <sz val="1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36"/>
      <color theme="0"/>
      <name val="Arial"/>
      <family val="2"/>
    </font>
    <font>
      <sz val="24"/>
      <color theme="0"/>
      <name val="Arial"/>
      <family val="2"/>
      <charset val="1"/>
    </font>
    <font>
      <sz val="9"/>
      <color theme="1"/>
      <name val="Calibri"/>
      <family val="2"/>
      <scheme val="minor"/>
    </font>
    <font>
      <b/>
      <sz val="9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27"/>
      </patternFill>
    </fill>
    <fill>
      <patternFill patternType="solid">
        <fgColor theme="0"/>
        <bgColor indexed="4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27"/>
      </patternFill>
    </fill>
    <fill>
      <patternFill patternType="solid">
        <fgColor theme="4" tint="0.59999389629810485"/>
        <bgColor indexed="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2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27"/>
      </patternFill>
    </fill>
    <fill>
      <patternFill patternType="solid">
        <fgColor theme="9" tint="0.39997558519241921"/>
        <bgColor indexed="40"/>
      </patternFill>
    </fill>
    <fill>
      <patternFill patternType="solid">
        <fgColor theme="9" tint="0.39997558519241921"/>
        <bgColor indexed="42"/>
      </patternFill>
    </fill>
    <fill>
      <patternFill patternType="solid">
        <fgColor rgb="FFCC3300"/>
        <bgColor indexed="26"/>
      </patternFill>
    </fill>
    <fill>
      <patternFill patternType="solid">
        <fgColor rgb="FFCC3300"/>
        <bgColor indexed="64"/>
      </patternFill>
    </fill>
    <fill>
      <patternFill patternType="solid">
        <fgColor rgb="FFCC3300"/>
        <bgColor indexed="2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16">
    <border>
      <left/>
      <right/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5" fontId="10" fillId="0" borderId="0" applyFill="0" applyBorder="0" applyAlignment="0" applyProtection="0"/>
    <xf numFmtId="9" fontId="10" fillId="0" borderId="0" applyFill="0" applyBorder="0" applyAlignment="0" applyProtection="0"/>
    <xf numFmtId="0" fontId="34" fillId="0" borderId="0"/>
    <xf numFmtId="0" fontId="8" fillId="0" borderId="0"/>
    <xf numFmtId="175" fontId="8" fillId="0" borderId="0" applyFont="0" applyFill="0" applyBorder="0" applyAlignment="0" applyProtection="0"/>
  </cellStyleXfs>
  <cellXfs count="645">
    <xf numFmtId="0" fontId="0" fillId="0" borderId="0" xfId="0"/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15" fillId="0" borderId="0" xfId="0" applyFont="1"/>
    <xf numFmtId="165" fontId="24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34" fillId="0" borderId="0" xfId="3"/>
    <xf numFmtId="0" fontId="13" fillId="4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167" fontId="12" fillId="3" borderId="0" xfId="0" applyNumberFormat="1" applyFont="1" applyFill="1" applyAlignment="1">
      <alignment horizontal="left"/>
    </xf>
    <xf numFmtId="0" fontId="26" fillId="4" borderId="0" xfId="0" applyFont="1" applyFill="1" applyAlignment="1">
      <alignment horizontal="center"/>
    </xf>
    <xf numFmtId="0" fontId="13" fillId="4" borderId="0" xfId="0" applyFont="1" applyFill="1"/>
    <xf numFmtId="0" fontId="24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26" fillId="4" borderId="0" xfId="0" applyFont="1" applyFill="1"/>
    <xf numFmtId="0" fontId="13" fillId="4" borderId="0" xfId="0" applyFont="1" applyFill="1" applyAlignment="1">
      <alignment horizontal="center" vertical="center" wrapText="1"/>
    </xf>
    <xf numFmtId="0" fontId="17" fillId="4" borderId="0" xfId="0" applyFont="1" applyFill="1"/>
    <xf numFmtId="166" fontId="12" fillId="4" borderId="0" xfId="0" applyNumberFormat="1" applyFont="1" applyFill="1"/>
    <xf numFmtId="0" fontId="21" fillId="4" borderId="0" xfId="0" applyFont="1" applyFill="1" applyAlignment="1">
      <alignment horizontal="center"/>
    </xf>
    <xf numFmtId="165" fontId="13" fillId="4" borderId="0" xfId="0" applyNumberFormat="1" applyFont="1" applyFill="1" applyAlignment="1">
      <alignment horizontal="center"/>
    </xf>
    <xf numFmtId="0" fontId="14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166" fontId="18" fillId="4" borderId="0" xfId="0" applyNumberFormat="1" applyFont="1" applyFill="1"/>
    <xf numFmtId="0" fontId="13" fillId="4" borderId="0" xfId="0" applyFont="1" applyFill="1" applyAlignment="1">
      <alignment horizontal="left"/>
    </xf>
    <xf numFmtId="165" fontId="13" fillId="4" borderId="0" xfId="0" applyNumberFormat="1" applyFont="1" applyFill="1"/>
    <xf numFmtId="167" fontId="13" fillId="4" borderId="0" xfId="0" applyNumberFormat="1" applyFont="1" applyFill="1" applyAlignment="1">
      <alignment horizontal="left"/>
    </xf>
    <xf numFmtId="0" fontId="21" fillId="4" borderId="0" xfId="0" applyFont="1" applyFill="1" applyAlignment="1">
      <alignment horizontal="left"/>
    </xf>
    <xf numFmtId="165" fontId="21" fillId="4" borderId="0" xfId="0" applyNumberFormat="1" applyFont="1" applyFill="1"/>
    <xf numFmtId="0" fontId="12" fillId="2" borderId="0" xfId="0" applyFont="1" applyFill="1" applyAlignment="1">
      <alignment horizontal="left"/>
    </xf>
    <xf numFmtId="165" fontId="12" fillId="5" borderId="0" xfId="0" applyNumberFormat="1" applyFont="1" applyFill="1"/>
    <xf numFmtId="0" fontId="12" fillId="4" borderId="0" xfId="0" applyFont="1" applyFill="1"/>
    <xf numFmtId="0" fontId="12" fillId="4" borderId="0" xfId="0" applyFont="1" applyFill="1" applyAlignment="1">
      <alignment horizontal="left"/>
    </xf>
    <xf numFmtId="165" fontId="13" fillId="5" borderId="0" xfId="0" applyNumberFormat="1" applyFont="1" applyFill="1"/>
    <xf numFmtId="165" fontId="12" fillId="4" borderId="0" xfId="3" applyNumberFormat="1" applyFont="1" applyFill="1" applyAlignment="1">
      <alignment horizontal="center"/>
    </xf>
    <xf numFmtId="0" fontId="0" fillId="4" borderId="0" xfId="0" applyFill="1"/>
    <xf numFmtId="0" fontId="17" fillId="4" borderId="0" xfId="0" applyFont="1" applyFill="1" applyAlignment="1">
      <alignment horizontal="center"/>
    </xf>
    <xf numFmtId="165" fontId="13" fillId="4" borderId="0" xfId="1" applyFont="1" applyFill="1" applyBorder="1" applyAlignment="1" applyProtection="1"/>
    <xf numFmtId="170" fontId="13" fillId="4" borderId="0" xfId="1" applyNumberFormat="1" applyFont="1" applyFill="1" applyBorder="1" applyAlignment="1" applyProtection="1"/>
    <xf numFmtId="165" fontId="13" fillId="4" borderId="0" xfId="1" applyFont="1" applyFill="1" applyBorder="1" applyAlignment="1" applyProtection="1">
      <alignment horizontal="center"/>
    </xf>
    <xf numFmtId="165" fontId="17" fillId="4" borderId="0" xfId="1" applyFont="1" applyFill="1" applyBorder="1" applyAlignment="1" applyProtection="1"/>
    <xf numFmtId="0" fontId="0" fillId="4" borderId="0" xfId="0" applyFill="1" applyAlignment="1">
      <alignment horizontal="center"/>
    </xf>
    <xf numFmtId="0" fontId="32" fillId="4" borderId="0" xfId="0" applyFont="1" applyFill="1"/>
    <xf numFmtId="0" fontId="18" fillId="4" borderId="0" xfId="3" applyFont="1" applyFill="1" applyAlignment="1">
      <alignment horizontal="center"/>
    </xf>
    <xf numFmtId="165" fontId="12" fillId="5" borderId="0" xfId="3" applyNumberFormat="1" applyFont="1" applyFill="1" applyAlignment="1">
      <alignment horizontal="center" vertical="center"/>
    </xf>
    <xf numFmtId="165" fontId="12" fillId="4" borderId="0" xfId="1" applyFont="1" applyFill="1" applyBorder="1" applyAlignment="1" applyProtection="1"/>
    <xf numFmtId="0" fontId="13" fillId="4" borderId="0" xfId="3" applyFont="1" applyFill="1" applyAlignment="1">
      <alignment horizontal="center"/>
    </xf>
    <xf numFmtId="165" fontId="12" fillId="4" borderId="0" xfId="3" applyNumberFormat="1" applyFont="1" applyFill="1" applyAlignment="1">
      <alignment vertical="center"/>
    </xf>
    <xf numFmtId="1" fontId="26" fillId="4" borderId="0" xfId="1" applyNumberFormat="1" applyFont="1" applyFill="1" applyBorder="1" applyAlignment="1" applyProtection="1">
      <alignment horizontal="center"/>
    </xf>
    <xf numFmtId="0" fontId="13" fillId="4" borderId="0" xfId="3" applyFont="1" applyFill="1"/>
    <xf numFmtId="0" fontId="19" fillId="4" borderId="0" xfId="0" applyFont="1" applyFill="1"/>
    <xf numFmtId="0" fontId="9" fillId="4" borderId="0" xfId="0" applyFont="1" applyFill="1"/>
    <xf numFmtId="0" fontId="15" fillId="4" borderId="0" xfId="0" applyFont="1" applyFill="1"/>
    <xf numFmtId="1" fontId="16" fillId="4" borderId="0" xfId="0" applyNumberFormat="1" applyFont="1" applyFill="1" applyAlignment="1">
      <alignment horizontal="center"/>
    </xf>
    <xf numFmtId="0" fontId="20" fillId="0" borderId="16" xfId="1" applyNumberFormat="1" applyFont="1" applyFill="1" applyBorder="1" applyAlignment="1" applyProtection="1">
      <alignment horizontal="center"/>
    </xf>
    <xf numFmtId="165" fontId="19" fillId="0" borderId="21" xfId="1" applyFont="1" applyFill="1" applyBorder="1" applyAlignment="1" applyProtection="1">
      <alignment horizontal="center"/>
    </xf>
    <xf numFmtId="165" fontId="23" fillId="4" borderId="0" xfId="1" applyFont="1" applyFill="1" applyBorder="1" applyAlignment="1" applyProtection="1">
      <alignment horizontal="left"/>
    </xf>
    <xf numFmtId="0" fontId="20" fillId="4" borderId="0" xfId="1" applyNumberFormat="1" applyFont="1" applyFill="1" applyBorder="1" applyAlignment="1" applyProtection="1">
      <alignment horizontal="center"/>
    </xf>
    <xf numFmtId="165" fontId="19" fillId="4" borderId="0" xfId="1" applyFont="1" applyFill="1" applyBorder="1" applyAlignment="1" applyProtection="1">
      <alignment horizontal="center"/>
    </xf>
    <xf numFmtId="168" fontId="17" fillId="4" borderId="0" xfId="1" applyNumberFormat="1" applyFont="1" applyFill="1" applyBorder="1" applyAlignment="1" applyProtection="1">
      <alignment horizontal="center" vertical="center"/>
    </xf>
    <xf numFmtId="1" fontId="15" fillId="4" borderId="0" xfId="1" applyNumberFormat="1" applyFont="1" applyFill="1" applyBorder="1" applyAlignment="1" applyProtection="1">
      <alignment horizontal="center"/>
    </xf>
    <xf numFmtId="165" fontId="9" fillId="4" borderId="0" xfId="1" applyFont="1" applyFill="1" applyBorder="1" applyAlignment="1" applyProtection="1">
      <alignment horizontal="center"/>
    </xf>
    <xf numFmtId="1" fontId="17" fillId="4" borderId="0" xfId="1" applyNumberFormat="1" applyFont="1" applyFill="1" applyBorder="1" applyAlignment="1" applyProtection="1">
      <alignment horizontal="center" vertical="center"/>
    </xf>
    <xf numFmtId="165" fontId="23" fillId="4" borderId="0" xfId="1" applyFont="1" applyFill="1" applyBorder="1" applyAlignment="1" applyProtection="1">
      <alignment horizontal="right"/>
    </xf>
    <xf numFmtId="165" fontId="20" fillId="4" borderId="0" xfId="1" applyFont="1" applyFill="1" applyBorder="1" applyAlignment="1" applyProtection="1">
      <alignment horizontal="right"/>
    </xf>
    <xf numFmtId="165" fontId="19" fillId="4" borderId="0" xfId="1" applyFont="1" applyFill="1" applyBorder="1" applyAlignment="1" applyProtection="1">
      <alignment horizontal="right"/>
    </xf>
    <xf numFmtId="9" fontId="30" fillId="4" borderId="0" xfId="0" applyNumberFormat="1" applyFont="1" applyFill="1"/>
    <xf numFmtId="165" fontId="9" fillId="5" borderId="0" xfId="1" applyFont="1" applyFill="1" applyBorder="1" applyAlignment="1" applyProtection="1"/>
    <xf numFmtId="49" fontId="13" fillId="4" borderId="0" xfId="0" applyNumberFormat="1" applyFont="1" applyFill="1" applyAlignment="1">
      <alignment horizontal="center"/>
    </xf>
    <xf numFmtId="0" fontId="35" fillId="4" borderId="0" xfId="3" applyFont="1" applyFill="1" applyAlignment="1">
      <alignment horizontal="center" vertical="center"/>
    </xf>
    <xf numFmtId="0" fontId="36" fillId="4" borderId="0" xfId="3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165" fontId="13" fillId="4" borderId="0" xfId="0" applyNumberFormat="1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/>
    </xf>
    <xf numFmtId="165" fontId="13" fillId="4" borderId="0" xfId="0" applyNumberFormat="1" applyFont="1" applyFill="1" applyAlignment="1">
      <alignment horizontal="center" vertical="center"/>
    </xf>
    <xf numFmtId="165" fontId="13" fillId="4" borderId="0" xfId="0" applyNumberFormat="1" applyFont="1" applyFill="1" applyAlignment="1">
      <alignment horizontal="left" vertical="center" wrapText="1"/>
    </xf>
    <xf numFmtId="165" fontId="13" fillId="4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165" fontId="12" fillId="4" borderId="0" xfId="0" applyNumberFormat="1" applyFont="1" applyFill="1" applyAlignment="1">
      <alignment horizontal="left" vertical="center" wrapText="1"/>
    </xf>
    <xf numFmtId="1" fontId="12" fillId="4" borderId="0" xfId="0" applyNumberFormat="1" applyFont="1" applyFill="1" applyAlignment="1">
      <alignment horizontal="center" vertical="center"/>
    </xf>
    <xf numFmtId="165" fontId="12" fillId="4" borderId="0" xfId="0" applyNumberFormat="1" applyFont="1" applyFill="1" applyAlignment="1">
      <alignment horizontal="left" vertical="center"/>
    </xf>
    <xf numFmtId="0" fontId="18" fillId="4" borderId="0" xfId="0" applyFont="1" applyFill="1" applyAlignment="1">
      <alignment horizontal="left"/>
    </xf>
    <xf numFmtId="165" fontId="12" fillId="5" borderId="0" xfId="0" applyNumberFormat="1" applyFont="1" applyFill="1" applyAlignment="1">
      <alignment horizontal="center"/>
    </xf>
    <xf numFmtId="0" fontId="18" fillId="4" borderId="0" xfId="0" applyFont="1" applyFill="1"/>
    <xf numFmtId="165" fontId="12" fillId="4" borderId="0" xfId="0" applyNumberFormat="1" applyFont="1" applyFill="1"/>
    <xf numFmtId="171" fontId="9" fillId="5" borderId="0" xfId="0" applyNumberFormat="1" applyFont="1" applyFill="1" applyAlignment="1">
      <alignment horizontal="right" vertical="center"/>
    </xf>
    <xf numFmtId="0" fontId="30" fillId="4" borderId="0" xfId="2" applyNumberFormat="1" applyFont="1" applyFill="1" applyBorder="1" applyAlignment="1" applyProtection="1">
      <alignment vertical="center"/>
    </xf>
    <xf numFmtId="9" fontId="19" fillId="4" borderId="0" xfId="2" applyFont="1" applyFill="1" applyBorder="1" applyAlignment="1" applyProtection="1">
      <alignment horizontal="center"/>
    </xf>
    <xf numFmtId="165" fontId="20" fillId="4" borderId="0" xfId="0" applyNumberFormat="1" applyFont="1" applyFill="1" applyAlignment="1">
      <alignment horizontal="right"/>
    </xf>
    <xf numFmtId="165" fontId="20" fillId="0" borderId="31" xfId="0" applyNumberFormat="1" applyFont="1" applyBorder="1" applyAlignment="1">
      <alignment horizontal="right"/>
    </xf>
    <xf numFmtId="165" fontId="20" fillId="0" borderId="12" xfId="0" applyNumberFormat="1" applyFont="1" applyBorder="1" applyAlignment="1">
      <alignment horizontal="right"/>
    </xf>
    <xf numFmtId="169" fontId="20" fillId="4" borderId="0" xfId="0" applyNumberFormat="1" applyFont="1" applyFill="1" applyAlignment="1">
      <alignment horizontal="center"/>
    </xf>
    <xf numFmtId="173" fontId="49" fillId="4" borderId="25" xfId="0" applyNumberFormat="1" applyFont="1" applyFill="1" applyBorder="1"/>
    <xf numFmtId="172" fontId="55" fillId="4" borderId="25" xfId="0" applyNumberFormat="1" applyFont="1" applyFill="1" applyBorder="1" applyAlignment="1">
      <alignment horizontal="center"/>
    </xf>
    <xf numFmtId="0" fontId="55" fillId="4" borderId="27" xfId="0" applyFont="1" applyFill="1" applyBorder="1" applyAlignment="1">
      <alignment horizontal="center"/>
    </xf>
    <xf numFmtId="0" fontId="20" fillId="0" borderId="28" xfId="0" applyFont="1" applyBorder="1"/>
    <xf numFmtId="165" fontId="19" fillId="0" borderId="37" xfId="1" applyFont="1" applyFill="1" applyBorder="1" applyAlignment="1" applyProtection="1">
      <alignment horizontal="center"/>
    </xf>
    <xf numFmtId="0" fontId="44" fillId="2" borderId="0" xfId="0" applyFont="1" applyFill="1"/>
    <xf numFmtId="165" fontId="19" fillId="2" borderId="0" xfId="1" applyFont="1" applyFill="1" applyBorder="1" applyAlignment="1" applyProtection="1">
      <alignment horizontal="right"/>
    </xf>
    <xf numFmtId="172" fontId="55" fillId="4" borderId="34" xfId="0" applyNumberFormat="1" applyFont="1" applyFill="1" applyBorder="1" applyAlignment="1">
      <alignment horizontal="center"/>
    </xf>
    <xf numFmtId="0" fontId="55" fillId="4" borderId="29" xfId="0" applyFont="1" applyFill="1" applyBorder="1" applyAlignment="1">
      <alignment horizontal="center"/>
    </xf>
    <xf numFmtId="173" fontId="49" fillId="4" borderId="34" xfId="0" applyNumberFormat="1" applyFont="1" applyFill="1" applyBorder="1"/>
    <xf numFmtId="0" fontId="33" fillId="0" borderId="30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55" fillId="4" borderId="49" xfId="0" applyFont="1" applyFill="1" applyBorder="1" applyAlignment="1">
      <alignment horizontal="center"/>
    </xf>
    <xf numFmtId="173" fontId="49" fillId="4" borderId="48" xfId="0" applyNumberFormat="1" applyFont="1" applyFill="1" applyBorder="1"/>
    <xf numFmtId="1" fontId="65" fillId="0" borderId="16" xfId="1" applyNumberFormat="1" applyFont="1" applyFill="1" applyBorder="1" applyAlignment="1" applyProtection="1">
      <alignment horizontal="center"/>
    </xf>
    <xf numFmtId="165" fontId="64" fillId="0" borderId="21" xfId="1" applyFont="1" applyFill="1" applyBorder="1" applyAlignment="1" applyProtection="1">
      <alignment horizontal="center"/>
    </xf>
    <xf numFmtId="0" fontId="68" fillId="0" borderId="16" xfId="1" applyNumberFormat="1" applyFont="1" applyFill="1" applyBorder="1" applyAlignment="1" applyProtection="1">
      <alignment horizontal="center"/>
    </xf>
    <xf numFmtId="165" fontId="69" fillId="0" borderId="21" xfId="1" applyFont="1" applyFill="1" applyBorder="1" applyAlignment="1" applyProtection="1">
      <alignment horizontal="center"/>
    </xf>
    <xf numFmtId="0" fontId="19" fillId="4" borderId="32" xfId="0" applyFont="1" applyFill="1" applyBorder="1" applyAlignment="1">
      <alignment vertical="center"/>
    </xf>
    <xf numFmtId="0" fontId="33" fillId="0" borderId="54" xfId="0" applyFont="1" applyBorder="1" applyAlignment="1">
      <alignment horizontal="center" vertical="center" wrapText="1"/>
    </xf>
    <xf numFmtId="0" fontId="62" fillId="0" borderId="26" xfId="0" applyFont="1" applyBorder="1" applyAlignment="1">
      <alignment horizontal="left" vertical="center" wrapText="1"/>
    </xf>
    <xf numFmtId="0" fontId="62" fillId="0" borderId="59" xfId="0" applyFont="1" applyBorder="1" applyAlignment="1">
      <alignment horizontal="left" vertical="center" wrapText="1"/>
    </xf>
    <xf numFmtId="0" fontId="70" fillId="0" borderId="59" xfId="0" applyFont="1" applyBorder="1" applyAlignment="1">
      <alignment horizontal="left" vertical="center" wrapText="1"/>
    </xf>
    <xf numFmtId="0" fontId="62" fillId="0" borderId="56" xfId="0" applyFont="1" applyBorder="1" applyAlignment="1">
      <alignment horizontal="left" vertical="center" wrapText="1"/>
    </xf>
    <xf numFmtId="0" fontId="78" fillId="8" borderId="7" xfId="0" applyFont="1" applyFill="1" applyBorder="1" applyAlignment="1">
      <alignment vertical="center"/>
    </xf>
    <xf numFmtId="1" fontId="12" fillId="0" borderId="38" xfId="0" applyNumberFormat="1" applyFont="1" applyBorder="1" applyAlignment="1">
      <alignment horizontal="center" vertical="center"/>
    </xf>
    <xf numFmtId="1" fontId="12" fillId="0" borderId="12" xfId="0" applyNumberFormat="1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165" fontId="22" fillId="4" borderId="0" xfId="0" applyNumberFormat="1" applyFont="1" applyFill="1"/>
    <xf numFmtId="165" fontId="31" fillId="4" borderId="0" xfId="1" applyFont="1" applyFill="1" applyBorder="1" applyAlignment="1" applyProtection="1">
      <alignment horizontal="center"/>
    </xf>
    <xf numFmtId="165" fontId="32" fillId="4" borderId="0" xfId="1" applyFont="1" applyFill="1" applyBorder="1" applyAlignment="1" applyProtection="1">
      <alignment horizontal="right"/>
    </xf>
    <xf numFmtId="165" fontId="31" fillId="4" borderId="0" xfId="1" applyFont="1" applyFill="1" applyBorder="1" applyAlignment="1" applyProtection="1">
      <alignment horizontal="right"/>
    </xf>
    <xf numFmtId="165" fontId="32" fillId="4" borderId="0" xfId="1" applyFont="1" applyFill="1" applyBorder="1" applyAlignment="1" applyProtection="1">
      <alignment horizontal="center"/>
    </xf>
    <xf numFmtId="165" fontId="37" fillId="4" borderId="0" xfId="1" applyFont="1" applyFill="1" applyBorder="1" applyAlignment="1" applyProtection="1">
      <alignment horizontal="right"/>
    </xf>
    <xf numFmtId="0" fontId="9" fillId="4" borderId="0" xfId="0" applyFont="1" applyFill="1" applyAlignment="1">
      <alignment horizontal="center" vertical="center" wrapText="1"/>
    </xf>
    <xf numFmtId="165" fontId="9" fillId="4" borderId="0" xfId="1" applyFont="1" applyFill="1" applyBorder="1" applyAlignment="1" applyProtection="1">
      <alignment horizontal="right"/>
    </xf>
    <xf numFmtId="165" fontId="15" fillId="4" borderId="0" xfId="1" applyFont="1" applyFill="1" applyBorder="1" applyAlignment="1" applyProtection="1">
      <alignment horizontal="right"/>
    </xf>
    <xf numFmtId="0" fontId="15" fillId="4" borderId="0" xfId="0" applyFont="1" applyFill="1" applyAlignment="1">
      <alignment horizontal="center"/>
    </xf>
    <xf numFmtId="0" fontId="9" fillId="4" borderId="0" xfId="0" applyFont="1" applyFill="1" applyAlignment="1">
      <alignment horizontal="right"/>
    </xf>
    <xf numFmtId="0" fontId="40" fillId="4" borderId="0" xfId="0" applyFont="1" applyFill="1"/>
    <xf numFmtId="0" fontId="9" fillId="4" borderId="0" xfId="0" applyFont="1" applyFill="1" applyAlignment="1">
      <alignment horizontal="center"/>
    </xf>
    <xf numFmtId="0" fontId="20" fillId="4" borderId="0" xfId="0" applyFont="1" applyFill="1"/>
    <xf numFmtId="0" fontId="39" fillId="4" borderId="0" xfId="0" applyFont="1" applyFill="1" applyAlignment="1">
      <alignment horizontal="center"/>
    </xf>
    <xf numFmtId="168" fontId="0" fillId="4" borderId="0" xfId="0" applyNumberFormat="1" applyFill="1"/>
    <xf numFmtId="165" fontId="17" fillId="4" borderId="0" xfId="0" applyNumberFormat="1" applyFont="1" applyFill="1"/>
    <xf numFmtId="0" fontId="38" fillId="4" borderId="0" xfId="0" applyFont="1" applyFill="1"/>
    <xf numFmtId="0" fontId="38" fillId="4" borderId="0" xfId="0" applyFont="1" applyFill="1" applyAlignment="1">
      <alignment horizontal="center"/>
    </xf>
    <xf numFmtId="0" fontId="35" fillId="4" borderId="0" xfId="0" applyFont="1" applyFill="1"/>
    <xf numFmtId="0" fontId="0" fillId="4" borderId="0" xfId="0" applyFill="1" applyAlignment="1">
      <alignment horizontal="right"/>
    </xf>
    <xf numFmtId="0" fontId="43" fillId="4" borderId="0" xfId="0" applyFont="1" applyFill="1"/>
    <xf numFmtId="0" fontId="41" fillId="4" borderId="0" xfId="0" applyFont="1" applyFill="1"/>
    <xf numFmtId="0" fontId="42" fillId="4" borderId="0" xfId="0" applyFont="1" applyFill="1"/>
    <xf numFmtId="0" fontId="9" fillId="4" borderId="0" xfId="0" applyFont="1" applyFill="1" applyAlignment="1">
      <alignment horizontal="left"/>
    </xf>
    <xf numFmtId="1" fontId="15" fillId="4" borderId="0" xfId="2" applyNumberFormat="1" applyFont="1" applyFill="1" applyBorder="1" applyAlignment="1" applyProtection="1">
      <alignment horizontal="right"/>
    </xf>
    <xf numFmtId="0" fontId="15" fillId="4" borderId="0" xfId="0" applyFont="1" applyFill="1" applyAlignment="1">
      <alignment horizontal="right"/>
    </xf>
    <xf numFmtId="0" fontId="39" fillId="4" borderId="0" xfId="0" applyFont="1" applyFill="1"/>
    <xf numFmtId="165" fontId="12" fillId="4" borderId="0" xfId="0" applyNumberFormat="1" applyFont="1" applyFill="1" applyAlignment="1">
      <alignment horizontal="center"/>
    </xf>
    <xf numFmtId="165" fontId="15" fillId="4" borderId="0" xfId="1" applyFont="1" applyFill="1" applyBorder="1" applyAlignment="1" applyProtection="1"/>
    <xf numFmtId="10" fontId="9" fillId="4" borderId="0" xfId="1" applyNumberFormat="1" applyFont="1" applyFill="1" applyBorder="1" applyAlignment="1" applyProtection="1">
      <alignment horizontal="center"/>
    </xf>
    <xf numFmtId="0" fontId="27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27" fillId="4" borderId="0" xfId="0" applyFont="1" applyFill="1"/>
    <xf numFmtId="9" fontId="29" fillId="4" borderId="0" xfId="0" applyNumberFormat="1" applyFont="1" applyFill="1" applyAlignment="1">
      <alignment horizontal="center"/>
    </xf>
    <xf numFmtId="165" fontId="19" fillId="4" borderId="3" xfId="1" applyFont="1" applyFill="1" applyBorder="1" applyAlignment="1" applyProtection="1">
      <alignment horizontal="center"/>
    </xf>
    <xf numFmtId="165" fontId="12" fillId="4" borderId="0" xfId="0" applyNumberFormat="1" applyFont="1" applyFill="1" applyAlignment="1">
      <alignment horizontal="center" vertical="center"/>
    </xf>
    <xf numFmtId="0" fontId="82" fillId="4" borderId="0" xfId="0" applyFont="1" applyFill="1" applyAlignment="1">
      <alignment horizontal="left"/>
    </xf>
    <xf numFmtId="164" fontId="13" fillId="4" borderId="0" xfId="0" applyNumberFormat="1" applyFont="1" applyFill="1" applyAlignment="1">
      <alignment horizontal="center"/>
    </xf>
    <xf numFmtId="0" fontId="19" fillId="4" borderId="52" xfId="0" applyFont="1" applyFill="1" applyBorder="1"/>
    <xf numFmtId="172" fontId="55" fillId="4" borderId="55" xfId="0" applyNumberFormat="1" applyFont="1" applyFill="1" applyBorder="1" applyAlignment="1">
      <alignment horizontal="center"/>
    </xf>
    <xf numFmtId="0" fontId="9" fillId="4" borderId="33" xfId="0" applyFont="1" applyFill="1" applyBorder="1"/>
    <xf numFmtId="172" fontId="55" fillId="4" borderId="57" xfId="0" applyNumberFormat="1" applyFont="1" applyFill="1" applyBorder="1" applyAlignment="1">
      <alignment horizontal="center"/>
    </xf>
    <xf numFmtId="0" fontId="55" fillId="4" borderId="61" xfId="0" applyFont="1" applyFill="1" applyBorder="1" applyAlignment="1">
      <alignment horizontal="center"/>
    </xf>
    <xf numFmtId="173" fontId="49" fillId="4" borderId="57" xfId="0" applyNumberFormat="1" applyFont="1" applyFill="1" applyBorder="1"/>
    <xf numFmtId="0" fontId="89" fillId="4" borderId="0" xfId="0" applyFont="1" applyFill="1"/>
    <xf numFmtId="0" fontId="90" fillId="4" borderId="0" xfId="0" applyFont="1" applyFill="1"/>
    <xf numFmtId="0" fontId="91" fillId="4" borderId="0" xfId="0" applyFont="1" applyFill="1"/>
    <xf numFmtId="0" fontId="94" fillId="10" borderId="0" xfId="0" applyFont="1" applyFill="1" applyAlignment="1">
      <alignment horizontal="center" vertical="center" wrapText="1"/>
    </xf>
    <xf numFmtId="0" fontId="95" fillId="10" borderId="0" xfId="0" applyFont="1" applyFill="1"/>
    <xf numFmtId="172" fontId="96" fillId="10" borderId="0" xfId="0" applyNumberFormat="1" applyFont="1" applyFill="1" applyAlignment="1">
      <alignment horizontal="center"/>
    </xf>
    <xf numFmtId="0" fontId="96" fillId="10" borderId="0" xfId="0" applyFont="1" applyFill="1" applyAlignment="1">
      <alignment horizontal="center"/>
    </xf>
    <xf numFmtId="173" fontId="97" fillId="10" borderId="0" xfId="0" applyNumberFormat="1" applyFont="1" applyFill="1"/>
    <xf numFmtId="0" fontId="95" fillId="10" borderId="0" xfId="0" applyFont="1" applyFill="1" applyAlignment="1">
      <alignment vertical="center"/>
    </xf>
    <xf numFmtId="172" fontId="99" fillId="10" borderId="0" xfId="0" applyNumberFormat="1" applyFont="1" applyFill="1" applyAlignment="1">
      <alignment horizontal="center"/>
    </xf>
    <xf numFmtId="0" fontId="93" fillId="10" borderId="0" xfId="0" applyFont="1" applyFill="1"/>
    <xf numFmtId="173" fontId="97" fillId="10" borderId="0" xfId="0" applyNumberFormat="1" applyFont="1" applyFill="1" applyAlignment="1">
      <alignment horizontal="center" vertical="center"/>
    </xf>
    <xf numFmtId="173" fontId="102" fillId="10" borderId="0" xfId="0" applyNumberFormat="1" applyFont="1" applyFill="1" applyAlignment="1">
      <alignment horizontal="center" vertical="center"/>
    </xf>
    <xf numFmtId="0" fontId="15" fillId="10" borderId="0" xfId="0" applyFont="1" applyFill="1"/>
    <xf numFmtId="0" fontId="0" fillId="10" borderId="0" xfId="0" applyFill="1"/>
    <xf numFmtId="0" fontId="63" fillId="4" borderId="0" xfId="0" applyFont="1" applyFill="1"/>
    <xf numFmtId="0" fontId="53" fillId="4" borderId="0" xfId="0" applyFont="1" applyFill="1"/>
    <xf numFmtId="172" fontId="54" fillId="4" borderId="0" xfId="0" applyNumberFormat="1" applyFont="1" applyFill="1" applyAlignment="1">
      <alignment horizontal="center"/>
    </xf>
    <xf numFmtId="3" fontId="54" fillId="4" borderId="0" xfId="0" applyNumberFormat="1" applyFont="1" applyFill="1" applyAlignment="1">
      <alignment horizontal="center"/>
    </xf>
    <xf numFmtId="173" fontId="50" fillId="4" borderId="0" xfId="0" applyNumberFormat="1" applyFont="1" applyFill="1"/>
    <xf numFmtId="0" fontId="53" fillId="4" borderId="0" xfId="0" applyFont="1" applyFill="1" applyAlignment="1">
      <alignment vertical="center"/>
    </xf>
    <xf numFmtId="172" fontId="63" fillId="4" borderId="0" xfId="0" applyNumberFormat="1" applyFont="1" applyFill="1" applyAlignment="1">
      <alignment horizontal="center"/>
    </xf>
    <xf numFmtId="0" fontId="108" fillId="4" borderId="0" xfId="0" applyFont="1" applyFill="1" applyAlignment="1">
      <alignment horizontal="center" vertical="center" wrapText="1"/>
    </xf>
    <xf numFmtId="173" fontId="50" fillId="4" borderId="0" xfId="0" applyNumberFormat="1" applyFont="1" applyFill="1" applyAlignment="1">
      <alignment horizontal="center" vertical="center"/>
    </xf>
    <xf numFmtId="173" fontId="81" fillId="4" borderId="0" xfId="0" applyNumberFormat="1" applyFont="1" applyFill="1" applyAlignment="1">
      <alignment horizontal="center" vertical="center"/>
    </xf>
    <xf numFmtId="0" fontId="109" fillId="9" borderId="26" xfId="0" applyFont="1" applyFill="1" applyBorder="1" applyAlignment="1">
      <alignment horizontal="center" vertical="center" wrapText="1"/>
    </xf>
    <xf numFmtId="0" fontId="19" fillId="4" borderId="42" xfId="0" applyFont="1" applyFill="1" applyBorder="1" applyAlignment="1">
      <alignment vertical="center"/>
    </xf>
    <xf numFmtId="165" fontId="13" fillId="0" borderId="39" xfId="0" applyNumberFormat="1" applyFont="1" applyBorder="1"/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0" fillId="0" borderId="0" xfId="0" applyAlignment="1">
      <alignment horizontal="center"/>
    </xf>
    <xf numFmtId="0" fontId="41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center"/>
    </xf>
    <xf numFmtId="0" fontId="0" fillId="0" borderId="9" xfId="0" applyBorder="1"/>
    <xf numFmtId="0" fontId="0" fillId="0" borderId="38" xfId="0" applyBorder="1"/>
    <xf numFmtId="172" fontId="0" fillId="0" borderId="38" xfId="0" applyNumberFormat="1" applyBorder="1"/>
    <xf numFmtId="0" fontId="110" fillId="0" borderId="76" xfId="0" applyFont="1" applyBorder="1"/>
    <xf numFmtId="0" fontId="0" fillId="0" borderId="70" xfId="0" applyBorder="1"/>
    <xf numFmtId="0" fontId="0" fillId="0" borderId="71" xfId="0" applyBorder="1"/>
    <xf numFmtId="172" fontId="0" fillId="0" borderId="58" xfId="0" applyNumberFormat="1" applyBorder="1"/>
    <xf numFmtId="172" fontId="0" fillId="0" borderId="70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76" xfId="0" applyBorder="1"/>
    <xf numFmtId="172" fontId="0" fillId="0" borderId="69" xfId="0" applyNumberFormat="1" applyBorder="1"/>
    <xf numFmtId="172" fontId="110" fillId="0" borderId="56" xfId="0" applyNumberFormat="1" applyFont="1" applyBorder="1"/>
    <xf numFmtId="172" fontId="110" fillId="0" borderId="14" xfId="0" applyNumberFormat="1" applyFont="1" applyBorder="1"/>
    <xf numFmtId="0" fontId="113" fillId="0" borderId="76" xfId="0" applyFont="1" applyBorder="1" applyAlignment="1">
      <alignment horizontal="left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110" fillId="0" borderId="14" xfId="0" applyFont="1" applyBorder="1" applyAlignment="1">
      <alignment horizontal="center" vertical="center"/>
    </xf>
    <xf numFmtId="0" fontId="110" fillId="0" borderId="76" xfId="0" applyFont="1" applyBorder="1" applyAlignment="1">
      <alignment horizontal="center" vertical="center"/>
    </xf>
    <xf numFmtId="16" fontId="0" fillId="0" borderId="0" xfId="0" applyNumberFormat="1"/>
    <xf numFmtId="0" fontId="33" fillId="0" borderId="76" xfId="0" applyFont="1" applyBorder="1" applyAlignment="1">
      <alignment horizontal="center" vertical="center" wrapText="1"/>
    </xf>
    <xf numFmtId="0" fontId="33" fillId="0" borderId="65" xfId="0" applyFont="1" applyBorder="1" applyAlignment="1">
      <alignment horizontal="center" vertical="center" wrapText="1"/>
    </xf>
    <xf numFmtId="0" fontId="13" fillId="12" borderId="80" xfId="0" applyFont="1" applyFill="1" applyBorder="1"/>
    <xf numFmtId="165" fontId="13" fillId="12" borderId="69" xfId="0" applyNumberFormat="1" applyFont="1" applyFill="1" applyBorder="1"/>
    <xf numFmtId="0" fontId="13" fillId="12" borderId="69" xfId="0" applyFont="1" applyFill="1" applyBorder="1" applyAlignment="1">
      <alignment horizontal="center"/>
    </xf>
    <xf numFmtId="0" fontId="13" fillId="12" borderId="82" xfId="0" applyFont="1" applyFill="1" applyBorder="1"/>
    <xf numFmtId="165" fontId="13" fillId="12" borderId="41" xfId="0" applyNumberFormat="1" applyFont="1" applyFill="1" applyBorder="1"/>
    <xf numFmtId="0" fontId="13" fillId="12" borderId="41" xfId="0" applyFont="1" applyFill="1" applyBorder="1" applyAlignment="1">
      <alignment horizontal="center"/>
    </xf>
    <xf numFmtId="165" fontId="24" fillId="6" borderId="65" xfId="0" applyNumberFormat="1" applyFont="1" applyFill="1" applyBorder="1" applyAlignment="1">
      <alignment horizontal="center" vertical="center"/>
    </xf>
    <xf numFmtId="0" fontId="61" fillId="0" borderId="76" xfId="0" applyFont="1" applyBorder="1" applyAlignment="1">
      <alignment horizontal="left" vertical="center" wrapText="1"/>
    </xf>
    <xf numFmtId="0" fontId="61" fillId="0" borderId="80" xfId="0" applyFont="1" applyBorder="1" applyAlignment="1">
      <alignment horizontal="left" vertical="center" wrapText="1"/>
    </xf>
    <xf numFmtId="0" fontId="114" fillId="12" borderId="9" xfId="0" applyFont="1" applyFill="1" applyBorder="1" applyAlignment="1">
      <alignment horizontal="left" vertical="center" wrapText="1"/>
    </xf>
    <xf numFmtId="0" fontId="114" fillId="12" borderId="86" xfId="0" applyFont="1" applyFill="1" applyBorder="1" applyAlignment="1">
      <alignment horizontal="left" vertical="center" wrapText="1"/>
    </xf>
    <xf numFmtId="0" fontId="114" fillId="12" borderId="76" xfId="0" applyFont="1" applyFill="1" applyBorder="1" applyAlignment="1">
      <alignment horizontal="left" vertical="center" wrapText="1"/>
    </xf>
    <xf numFmtId="0" fontId="61" fillId="0" borderId="10" xfId="0" applyFont="1" applyBorder="1" applyAlignment="1">
      <alignment horizontal="left" vertical="center" wrapText="1"/>
    </xf>
    <xf numFmtId="0" fontId="117" fillId="12" borderId="76" xfId="0" applyFont="1" applyFill="1" applyBorder="1" applyAlignment="1">
      <alignment horizontal="left" vertical="center" wrapText="1"/>
    </xf>
    <xf numFmtId="0" fontId="118" fillId="12" borderId="69" xfId="0" applyFont="1" applyFill="1" applyBorder="1" applyAlignment="1">
      <alignment horizontal="center" vertical="center"/>
    </xf>
    <xf numFmtId="172" fontId="118" fillId="12" borderId="56" xfId="0" applyNumberFormat="1" applyFont="1" applyFill="1" applyBorder="1" applyAlignment="1">
      <alignment horizontal="center" vertical="center"/>
    </xf>
    <xf numFmtId="0" fontId="119" fillId="0" borderId="76" xfId="0" applyFont="1" applyBorder="1" applyAlignment="1">
      <alignment horizontal="right" vertical="center"/>
    </xf>
    <xf numFmtId="172" fontId="119" fillId="0" borderId="14" xfId="0" applyNumberFormat="1" applyFont="1" applyBorder="1" applyAlignment="1">
      <alignment vertical="center"/>
    </xf>
    <xf numFmtId="165" fontId="13" fillId="0" borderId="91" xfId="0" applyNumberFormat="1" applyFont="1" applyBorder="1"/>
    <xf numFmtId="0" fontId="13" fillId="0" borderId="91" xfId="0" applyFont="1" applyBorder="1" applyAlignment="1">
      <alignment horizontal="center"/>
    </xf>
    <xf numFmtId="165" fontId="13" fillId="12" borderId="26" xfId="0" applyNumberFormat="1" applyFont="1" applyFill="1" applyBorder="1"/>
    <xf numFmtId="165" fontId="13" fillId="12" borderId="92" xfId="0" applyNumberFormat="1" applyFont="1" applyFill="1" applyBorder="1"/>
    <xf numFmtId="0" fontId="13" fillId="0" borderId="39" xfId="0" applyFont="1" applyBorder="1"/>
    <xf numFmtId="0" fontId="13" fillId="0" borderId="97" xfId="0" applyFont="1" applyBorder="1"/>
    <xf numFmtId="0" fontId="13" fillId="0" borderId="91" xfId="0" applyFont="1" applyBorder="1"/>
    <xf numFmtId="0" fontId="28" fillId="0" borderId="91" xfId="0" applyFont="1" applyBorder="1"/>
    <xf numFmtId="0" fontId="13" fillId="0" borderId="98" xfId="0" applyFont="1" applyBorder="1"/>
    <xf numFmtId="165" fontId="13" fillId="0" borderId="97" xfId="0" applyNumberFormat="1" applyFont="1" applyBorder="1"/>
    <xf numFmtId="165" fontId="13" fillId="0" borderId="98" xfId="0" applyNumberFormat="1" applyFont="1" applyBorder="1"/>
    <xf numFmtId="0" fontId="13" fillId="0" borderId="97" xfId="0" applyFont="1" applyBorder="1" applyAlignment="1">
      <alignment horizontal="center"/>
    </xf>
    <xf numFmtId="0" fontId="13" fillId="0" borderId="98" xfId="0" applyFont="1" applyBorder="1" applyAlignment="1">
      <alignment horizontal="center"/>
    </xf>
    <xf numFmtId="0" fontId="13" fillId="0" borderId="99" xfId="0" applyFont="1" applyBorder="1"/>
    <xf numFmtId="165" fontId="13" fillId="0" borderId="99" xfId="0" applyNumberFormat="1" applyFont="1" applyBorder="1"/>
    <xf numFmtId="0" fontId="13" fillId="0" borderId="99" xfId="0" applyFont="1" applyBorder="1" applyAlignment="1">
      <alignment horizontal="center"/>
    </xf>
    <xf numFmtId="0" fontId="0" fillId="0" borderId="86" xfId="0" applyBorder="1"/>
    <xf numFmtId="0" fontId="110" fillId="0" borderId="65" xfId="0" applyFont="1" applyBorder="1" applyAlignment="1">
      <alignment horizontal="center" vertical="center"/>
    </xf>
    <xf numFmtId="0" fontId="122" fillId="0" borderId="0" xfId="0" applyFont="1"/>
    <xf numFmtId="172" fontId="122" fillId="0" borderId="0" xfId="0" applyNumberFormat="1" applyFont="1"/>
    <xf numFmtId="172" fontId="122" fillId="0" borderId="65" xfId="0" applyNumberFormat="1" applyFont="1" applyBorder="1"/>
    <xf numFmtId="0" fontId="123" fillId="0" borderId="66" xfId="0" applyFont="1" applyBorder="1"/>
    <xf numFmtId="172" fontId="123" fillId="0" borderId="68" xfId="0" applyNumberFormat="1" applyFont="1" applyBorder="1"/>
    <xf numFmtId="0" fontId="33" fillId="0" borderId="9" xfId="0" applyFont="1" applyBorder="1" applyAlignment="1">
      <alignment horizontal="left" vertical="center" wrapText="1"/>
    </xf>
    <xf numFmtId="172" fontId="122" fillId="4" borderId="102" xfId="0" applyNumberFormat="1" applyFont="1" applyFill="1" applyBorder="1"/>
    <xf numFmtId="172" fontId="122" fillId="4" borderId="104" xfId="0" applyNumberFormat="1" applyFont="1" applyFill="1" applyBorder="1"/>
    <xf numFmtId="172" fontId="0" fillId="0" borderId="107" xfId="0" applyNumberFormat="1" applyBorder="1"/>
    <xf numFmtId="0" fontId="0" fillId="0" borderId="65" xfId="0" applyBorder="1"/>
    <xf numFmtId="172" fontId="110" fillId="0" borderId="65" xfId="0" applyNumberFormat="1" applyFont="1" applyBorder="1"/>
    <xf numFmtId="0" fontId="0" fillId="0" borderId="65" xfId="0" applyBorder="1" applyAlignment="1">
      <alignment horizontal="center" vertical="center"/>
    </xf>
    <xf numFmtId="172" fontId="0" fillId="0" borderId="65" xfId="0" applyNumberFormat="1" applyBorder="1" applyAlignment="1">
      <alignment horizontal="center" vertical="center"/>
    </xf>
    <xf numFmtId="0" fontId="0" fillId="0" borderId="80" xfId="0" applyBorder="1"/>
    <xf numFmtId="172" fontId="112" fillId="0" borderId="38" xfId="0" applyNumberFormat="1" applyFont="1" applyBorder="1"/>
    <xf numFmtId="172" fontId="0" fillId="0" borderId="65" xfId="0" applyNumberFormat="1" applyBorder="1"/>
    <xf numFmtId="0" fontId="110" fillId="0" borderId="86" xfId="0" applyFont="1" applyBorder="1"/>
    <xf numFmtId="0" fontId="122" fillId="4" borderId="105" xfId="0" applyFont="1" applyFill="1" applyBorder="1"/>
    <xf numFmtId="172" fontId="122" fillId="4" borderId="106" xfId="0" applyNumberFormat="1" applyFont="1" applyFill="1" applyBorder="1"/>
    <xf numFmtId="172" fontId="122" fillId="4" borderId="24" xfId="0" applyNumberFormat="1" applyFont="1" applyFill="1" applyBorder="1"/>
    <xf numFmtId="0" fontId="122" fillId="0" borderId="101" xfId="0" applyFont="1" applyBorder="1"/>
    <xf numFmtId="172" fontId="122" fillId="0" borderId="102" xfId="0" applyNumberFormat="1" applyFont="1" applyBorder="1"/>
    <xf numFmtId="0" fontId="122" fillId="0" borderId="103" xfId="0" applyFont="1" applyBorder="1"/>
    <xf numFmtId="172" fontId="122" fillId="0" borderId="104" xfId="0" applyNumberFormat="1" applyFont="1" applyBorder="1"/>
    <xf numFmtId="172" fontId="122" fillId="0" borderId="109" xfId="0" applyNumberFormat="1" applyFont="1" applyBorder="1"/>
    <xf numFmtId="0" fontId="122" fillId="0" borderId="65" xfId="0" applyFont="1" applyBorder="1"/>
    <xf numFmtId="0" fontId="7" fillId="4" borderId="103" xfId="0" applyFont="1" applyFill="1" applyBorder="1"/>
    <xf numFmtId="0" fontId="7" fillId="4" borderId="22" xfId="0" applyFont="1" applyFill="1" applyBorder="1"/>
    <xf numFmtId="0" fontId="0" fillId="0" borderId="0" xfId="0" applyAlignment="1">
      <alignment horizontal="center" vertical="center"/>
    </xf>
    <xf numFmtId="1" fontId="65" fillId="0" borderId="100" xfId="1" applyNumberFormat="1" applyFont="1" applyFill="1" applyBorder="1" applyAlignment="1" applyProtection="1">
      <alignment horizontal="center"/>
    </xf>
    <xf numFmtId="165" fontId="64" fillId="0" borderId="104" xfId="1" applyFont="1" applyFill="1" applyBorder="1" applyAlignment="1" applyProtection="1">
      <alignment horizontal="center"/>
    </xf>
    <xf numFmtId="1" fontId="20" fillId="0" borderId="18" xfId="1" applyNumberFormat="1" applyFont="1" applyFill="1" applyBorder="1" applyAlignment="1" applyProtection="1">
      <alignment horizontal="center"/>
    </xf>
    <xf numFmtId="165" fontId="19" fillId="0" borderId="19" xfId="1" applyFont="1" applyFill="1" applyBorder="1" applyAlignment="1" applyProtection="1">
      <alignment horizontal="center"/>
    </xf>
    <xf numFmtId="1" fontId="20" fillId="0" borderId="47" xfId="1" applyNumberFormat="1" applyFont="1" applyFill="1" applyBorder="1" applyAlignment="1" applyProtection="1">
      <alignment horizontal="center"/>
    </xf>
    <xf numFmtId="165" fontId="19" fillId="0" borderId="46" xfId="1" applyFont="1" applyFill="1" applyBorder="1" applyAlignment="1" applyProtection="1">
      <alignment horizontal="center"/>
    </xf>
    <xf numFmtId="0" fontId="19" fillId="0" borderId="52" xfId="0" applyFont="1" applyBorder="1"/>
    <xf numFmtId="0" fontId="61" fillId="4" borderId="0" xfId="0" applyFont="1" applyFill="1" applyAlignment="1">
      <alignment horizontal="center" vertical="center" wrapText="1"/>
    </xf>
    <xf numFmtId="1" fontId="12" fillId="0" borderId="81" xfId="0" applyNumberFormat="1" applyFont="1" applyBorder="1" applyAlignment="1">
      <alignment horizontal="center" vertical="center"/>
    </xf>
    <xf numFmtId="172" fontId="55" fillId="0" borderId="55" xfId="0" applyNumberFormat="1" applyFont="1" applyBorder="1" applyAlignment="1">
      <alignment horizontal="center"/>
    </xf>
    <xf numFmtId="0" fontId="55" fillId="0" borderId="60" xfId="0" applyFont="1" applyBorder="1" applyAlignment="1">
      <alignment horizontal="center"/>
    </xf>
    <xf numFmtId="173" fontId="49" fillId="0" borderId="55" xfId="0" applyNumberFormat="1" applyFont="1" applyBorder="1"/>
    <xf numFmtId="166" fontId="20" fillId="13" borderId="18" xfId="0" applyNumberFormat="1" applyFont="1" applyFill="1" applyBorder="1" applyAlignment="1">
      <alignment horizontal="center"/>
    </xf>
    <xf numFmtId="169" fontId="20" fillId="13" borderId="18" xfId="0" applyNumberFormat="1" applyFont="1" applyFill="1" applyBorder="1" applyAlignment="1">
      <alignment horizontal="center"/>
    </xf>
    <xf numFmtId="166" fontId="20" fillId="7" borderId="18" xfId="0" applyNumberFormat="1" applyFont="1" applyFill="1" applyBorder="1" applyAlignment="1">
      <alignment horizontal="center"/>
    </xf>
    <xf numFmtId="169" fontId="20" fillId="7" borderId="18" xfId="0" applyNumberFormat="1" applyFont="1" applyFill="1" applyBorder="1" applyAlignment="1">
      <alignment horizontal="center"/>
    </xf>
    <xf numFmtId="166" fontId="20" fillId="7" borderId="23" xfId="0" applyNumberFormat="1" applyFont="1" applyFill="1" applyBorder="1" applyAlignment="1">
      <alignment horizontal="center"/>
    </xf>
    <xf numFmtId="169" fontId="20" fillId="7" borderId="23" xfId="0" applyNumberFormat="1" applyFont="1" applyFill="1" applyBorder="1" applyAlignment="1">
      <alignment horizontal="center"/>
    </xf>
    <xf numFmtId="0" fontId="71" fillId="16" borderId="10" xfId="0" applyFont="1" applyFill="1" applyBorder="1" applyAlignment="1">
      <alignment horizontal="right" vertical="center"/>
    </xf>
    <xf numFmtId="165" fontId="72" fillId="14" borderId="11" xfId="0" applyNumberFormat="1" applyFont="1" applyFill="1" applyBorder="1" applyAlignment="1">
      <alignment horizontal="left" vertical="center"/>
    </xf>
    <xf numFmtId="165" fontId="54" fillId="17" borderId="65" xfId="0" applyNumberFormat="1" applyFont="1" applyFill="1" applyBorder="1" applyAlignment="1">
      <alignment horizontal="center" vertical="center"/>
    </xf>
    <xf numFmtId="165" fontId="71" fillId="17" borderId="59" xfId="0" applyNumberFormat="1" applyFont="1" applyFill="1" applyBorder="1" applyAlignment="1">
      <alignment horizontal="center" vertical="center"/>
    </xf>
    <xf numFmtId="165" fontId="54" fillId="17" borderId="59" xfId="0" applyNumberFormat="1" applyFont="1" applyFill="1" applyBorder="1" applyAlignment="1">
      <alignment horizontal="center" vertical="center"/>
    </xf>
    <xf numFmtId="0" fontId="53" fillId="14" borderId="10" xfId="0" applyFont="1" applyFill="1" applyBorder="1"/>
    <xf numFmtId="172" fontId="65" fillId="14" borderId="11" xfId="0" applyNumberFormat="1" applyFont="1" applyFill="1" applyBorder="1" applyAlignment="1">
      <alignment horizontal="center"/>
    </xf>
    <xf numFmtId="0" fontId="53" fillId="14" borderId="30" xfId="0" applyFont="1" applyFill="1" applyBorder="1"/>
    <xf numFmtId="172" fontId="65" fillId="14" borderId="13" xfId="0" applyNumberFormat="1" applyFont="1" applyFill="1" applyBorder="1" applyAlignment="1">
      <alignment horizontal="center"/>
    </xf>
    <xf numFmtId="173" fontId="50" fillId="14" borderId="54" xfId="0" applyNumberFormat="1" applyFont="1" applyFill="1" applyBorder="1" applyAlignment="1">
      <alignment horizontal="center" vertical="center"/>
    </xf>
    <xf numFmtId="173" fontId="81" fillId="14" borderId="54" xfId="0" applyNumberFormat="1" applyFont="1" applyFill="1" applyBorder="1" applyAlignment="1">
      <alignment horizontal="center" vertical="center"/>
    </xf>
    <xf numFmtId="173" fontId="50" fillId="14" borderId="65" xfId="0" applyNumberFormat="1" applyFont="1" applyFill="1" applyBorder="1" applyAlignment="1">
      <alignment horizontal="center" vertical="center"/>
    </xf>
    <xf numFmtId="173" fontId="81" fillId="14" borderId="65" xfId="0" applyNumberFormat="1" applyFont="1" applyFill="1" applyBorder="1" applyAlignment="1">
      <alignment horizontal="center" vertical="center"/>
    </xf>
    <xf numFmtId="171" fontId="53" fillId="18" borderId="78" xfId="0" applyNumberFormat="1" applyFont="1" applyFill="1" applyBorder="1" applyAlignment="1">
      <alignment horizontal="right" vertical="center"/>
    </xf>
    <xf numFmtId="165" fontId="54" fillId="18" borderId="79" xfId="0" applyNumberFormat="1" applyFont="1" applyFill="1" applyBorder="1" applyAlignment="1">
      <alignment horizontal="center" vertical="center"/>
    </xf>
    <xf numFmtId="165" fontId="53" fillId="20" borderId="14" xfId="0" applyNumberFormat="1" applyFont="1" applyFill="1" applyBorder="1" applyAlignment="1">
      <alignment horizontal="center"/>
    </xf>
    <xf numFmtId="165" fontId="50" fillId="19" borderId="1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76" xfId="0" applyBorder="1" applyAlignment="1">
      <alignment horizontal="center" vertical="center"/>
    </xf>
    <xf numFmtId="0" fontId="126" fillId="0" borderId="65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24" fillId="0" borderId="52" xfId="0" applyFont="1" applyBorder="1"/>
    <xf numFmtId="0" fontId="24" fillId="4" borderId="32" xfId="0" applyFont="1" applyFill="1" applyBorder="1" applyAlignment="1">
      <alignment vertical="center"/>
    </xf>
    <xf numFmtId="0" fontId="24" fillId="4" borderId="42" xfId="0" applyFont="1" applyFill="1" applyBorder="1" applyAlignment="1">
      <alignment vertical="center"/>
    </xf>
    <xf numFmtId="0" fontId="12" fillId="4" borderId="33" xfId="0" applyFont="1" applyFill="1" applyBorder="1"/>
    <xf numFmtId="0" fontId="6" fillId="4" borderId="103" xfId="0" applyFont="1" applyFill="1" applyBorder="1"/>
    <xf numFmtId="0" fontId="5" fillId="4" borderId="103" xfId="0" applyFont="1" applyFill="1" applyBorder="1"/>
    <xf numFmtId="0" fontId="5" fillId="4" borderId="101" xfId="0" applyFont="1" applyFill="1" applyBorder="1"/>
    <xf numFmtId="0" fontId="122" fillId="0" borderId="111" xfId="0" applyFont="1" applyBorder="1"/>
    <xf numFmtId="172" fontId="122" fillId="0" borderId="112" xfId="0" applyNumberFormat="1" applyFont="1" applyBorder="1"/>
    <xf numFmtId="0" fontId="127" fillId="0" borderId="108" xfId="0" applyFont="1" applyBorder="1"/>
    <xf numFmtId="0" fontId="4" fillId="4" borderId="103" xfId="0" applyFont="1" applyFill="1" applyBorder="1"/>
    <xf numFmtId="0" fontId="3" fillId="4" borderId="105" xfId="0" applyFont="1" applyFill="1" applyBorder="1"/>
    <xf numFmtId="0" fontId="128" fillId="4" borderId="105" xfId="0" applyFont="1" applyFill="1" applyBorder="1"/>
    <xf numFmtId="1" fontId="20" fillId="0" borderId="16" xfId="1" applyNumberFormat="1" applyFont="1" applyFill="1" applyBorder="1" applyAlignment="1" applyProtection="1">
      <alignment horizontal="center" vertical="center"/>
    </xf>
    <xf numFmtId="165" fontId="19" fillId="0" borderId="21" xfId="1" applyFont="1" applyFill="1" applyBorder="1" applyAlignment="1" applyProtection="1">
      <alignment horizontal="center" vertical="center"/>
    </xf>
    <xf numFmtId="1" fontId="20" fillId="0" borderId="16" xfId="1" applyNumberFormat="1" applyFont="1" applyFill="1" applyBorder="1" applyAlignment="1" applyProtection="1">
      <alignment horizontal="center"/>
    </xf>
    <xf numFmtId="0" fontId="2" fillId="4" borderId="105" xfId="0" applyFont="1" applyFill="1" applyBorder="1"/>
    <xf numFmtId="0" fontId="20" fillId="0" borderId="16" xfId="0" applyFont="1" applyBorder="1"/>
    <xf numFmtId="0" fontId="0" fillId="0" borderId="9" xfId="0" applyBorder="1" applyAlignment="1">
      <alignment vertical="center"/>
    </xf>
    <xf numFmtId="0" fontId="0" fillId="0" borderId="70" xfId="0" applyBorder="1" applyAlignment="1">
      <alignment vertical="center"/>
    </xf>
    <xf numFmtId="0" fontId="0" fillId="0" borderId="98" xfId="0" applyBorder="1" applyAlignment="1">
      <alignment vertical="center"/>
    </xf>
    <xf numFmtId="0" fontId="0" fillId="0" borderId="71" xfId="0" applyBorder="1" applyAlignment="1">
      <alignment vertical="center"/>
    </xf>
    <xf numFmtId="0" fontId="131" fillId="4" borderId="105" xfId="0" applyFont="1" applyFill="1" applyBorder="1"/>
    <xf numFmtId="0" fontId="1" fillId="4" borderId="103" xfId="0" applyFont="1" applyFill="1" applyBorder="1"/>
    <xf numFmtId="0" fontId="1" fillId="0" borderId="103" xfId="0" applyFont="1" applyBorder="1"/>
    <xf numFmtId="1" fontId="20" fillId="0" borderId="47" xfId="1" applyNumberFormat="1" applyFont="1" applyFill="1" applyBorder="1" applyAlignment="1" applyProtection="1">
      <alignment horizontal="center" vertical="center"/>
    </xf>
    <xf numFmtId="165" fontId="19" fillId="0" borderId="46" xfId="1" applyFont="1" applyFill="1" applyBorder="1" applyAlignment="1" applyProtection="1">
      <alignment horizontal="center" vertical="center"/>
    </xf>
    <xf numFmtId="1" fontId="20" fillId="0" borderId="73" xfId="1" applyNumberFormat="1" applyFont="1" applyFill="1" applyBorder="1" applyAlignment="1" applyProtection="1">
      <alignment horizontal="center" vertical="center"/>
    </xf>
    <xf numFmtId="165" fontId="19" fillId="0" borderId="74" xfId="1" applyFont="1" applyFill="1" applyBorder="1" applyAlignment="1" applyProtection="1">
      <alignment horizontal="center" vertical="center"/>
    </xf>
    <xf numFmtId="0" fontId="20" fillId="0" borderId="73" xfId="1" applyNumberFormat="1" applyFont="1" applyFill="1" applyBorder="1" applyAlignment="1" applyProtection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104" fillId="4" borderId="0" xfId="0" applyFont="1" applyFill="1"/>
    <xf numFmtId="0" fontId="33" fillId="0" borderId="9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46" fillId="21" borderId="101" xfId="0" applyFont="1" applyFill="1" applyBorder="1"/>
    <xf numFmtId="166" fontId="45" fillId="21" borderId="18" xfId="0" applyNumberFormat="1" applyFont="1" applyFill="1" applyBorder="1" applyAlignment="1">
      <alignment horizontal="center"/>
    </xf>
    <xf numFmtId="169" fontId="45" fillId="21" borderId="18" xfId="0" applyNumberFormat="1" applyFont="1" applyFill="1" applyBorder="1" applyAlignment="1">
      <alignment horizontal="center"/>
    </xf>
    <xf numFmtId="165" fontId="45" fillId="21" borderId="102" xfId="1" applyFont="1" applyFill="1" applyBorder="1" applyAlignment="1" applyProtection="1">
      <alignment horizontal="right"/>
    </xf>
    <xf numFmtId="0" fontId="46" fillId="21" borderId="103" xfId="0" applyFont="1" applyFill="1" applyBorder="1"/>
    <xf numFmtId="166" fontId="45" fillId="21" borderId="113" xfId="0" applyNumberFormat="1" applyFont="1" applyFill="1" applyBorder="1" applyAlignment="1">
      <alignment horizontal="center"/>
    </xf>
    <xf numFmtId="169" fontId="45" fillId="21" borderId="113" xfId="0" applyNumberFormat="1" applyFont="1" applyFill="1" applyBorder="1" applyAlignment="1">
      <alignment horizontal="center"/>
    </xf>
    <xf numFmtId="165" fontId="45" fillId="21" borderId="114" xfId="1" applyFont="1" applyFill="1" applyBorder="1" applyAlignment="1" applyProtection="1">
      <alignment horizontal="right"/>
    </xf>
    <xf numFmtId="0" fontId="46" fillId="21" borderId="115" xfId="0" applyFont="1" applyFill="1" applyBorder="1"/>
    <xf numFmtId="0" fontId="132" fillId="21" borderId="108" xfId="0" applyFont="1" applyFill="1" applyBorder="1" applyAlignment="1">
      <alignment vertical="center"/>
    </xf>
    <xf numFmtId="166" fontId="45" fillId="21" borderId="23" xfId="0" applyNumberFormat="1" applyFont="1" applyFill="1" applyBorder="1" applyAlignment="1">
      <alignment horizontal="center"/>
    </xf>
    <xf numFmtId="169" fontId="45" fillId="21" borderId="23" xfId="0" applyNumberFormat="1" applyFont="1" applyFill="1" applyBorder="1" applyAlignment="1">
      <alignment horizontal="center"/>
    </xf>
    <xf numFmtId="165" fontId="45" fillId="21" borderId="109" xfId="1" applyFont="1" applyFill="1" applyBorder="1" applyAlignment="1" applyProtection="1">
      <alignment horizontal="right"/>
    </xf>
    <xf numFmtId="0" fontId="105" fillId="22" borderId="101" xfId="0" applyFont="1" applyFill="1" applyBorder="1"/>
    <xf numFmtId="166" fontId="20" fillId="22" borderId="18" xfId="0" applyNumberFormat="1" applyFont="1" applyFill="1" applyBorder="1" applyAlignment="1">
      <alignment horizontal="center"/>
    </xf>
    <xf numFmtId="169" fontId="20" fillId="22" borderId="18" xfId="0" applyNumberFormat="1" applyFont="1" applyFill="1" applyBorder="1" applyAlignment="1">
      <alignment horizontal="center"/>
    </xf>
    <xf numFmtId="165" fontId="20" fillId="22" borderId="114" xfId="1" applyFont="1" applyFill="1" applyBorder="1" applyAlignment="1" applyProtection="1">
      <alignment horizontal="right"/>
    </xf>
    <xf numFmtId="0" fontId="105" fillId="22" borderId="115" xfId="0" applyFont="1" applyFill="1" applyBorder="1"/>
    <xf numFmtId="166" fontId="20" fillId="22" borderId="113" xfId="0" applyNumberFormat="1" applyFont="1" applyFill="1" applyBorder="1" applyAlignment="1">
      <alignment horizontal="center"/>
    </xf>
    <xf numFmtId="169" fontId="20" fillId="22" borderId="113" xfId="0" applyNumberFormat="1" applyFont="1" applyFill="1" applyBorder="1" applyAlignment="1">
      <alignment horizontal="center"/>
    </xf>
    <xf numFmtId="0" fontId="46" fillId="7" borderId="101" xfId="0" applyFont="1" applyFill="1" applyBorder="1"/>
    <xf numFmtId="165" fontId="20" fillId="7" borderId="102" xfId="1" applyFont="1" applyFill="1" applyBorder="1" applyAlignment="1" applyProtection="1">
      <alignment horizontal="right"/>
    </xf>
    <xf numFmtId="0" fontId="46" fillId="7" borderId="115" xfId="0" applyFont="1" applyFill="1" applyBorder="1"/>
    <xf numFmtId="166" fontId="20" fillId="7" borderId="113" xfId="0" applyNumberFormat="1" applyFont="1" applyFill="1" applyBorder="1" applyAlignment="1">
      <alignment horizontal="center"/>
    </xf>
    <xf numFmtId="169" fontId="20" fillId="7" borderId="113" xfId="0" applyNumberFormat="1" applyFont="1" applyFill="1" applyBorder="1" applyAlignment="1">
      <alignment horizontal="center"/>
    </xf>
    <xf numFmtId="165" fontId="20" fillId="7" borderId="114" xfId="1" applyFont="1" applyFill="1" applyBorder="1" applyAlignment="1" applyProtection="1">
      <alignment horizontal="right"/>
    </xf>
    <xf numFmtId="0" fontId="46" fillId="7" borderId="108" xfId="0" applyFont="1" applyFill="1" applyBorder="1"/>
    <xf numFmtId="165" fontId="20" fillId="7" borderId="109" xfId="1" applyFont="1" applyFill="1" applyBorder="1" applyAlignment="1" applyProtection="1">
      <alignment horizontal="right"/>
    </xf>
    <xf numFmtId="0" fontId="120" fillId="13" borderId="101" xfId="0" applyFont="1" applyFill="1" applyBorder="1"/>
    <xf numFmtId="165" fontId="20" fillId="13" borderId="102" xfId="1" applyFont="1" applyFill="1" applyBorder="1" applyAlignment="1" applyProtection="1">
      <alignment horizontal="right"/>
    </xf>
    <xf numFmtId="0" fontId="120" fillId="13" borderId="115" xfId="0" applyFont="1" applyFill="1" applyBorder="1"/>
    <xf numFmtId="166" fontId="20" fillId="13" borderId="113" xfId="0" applyNumberFormat="1" applyFont="1" applyFill="1" applyBorder="1" applyAlignment="1">
      <alignment horizontal="center"/>
    </xf>
    <xf numFmtId="169" fontId="20" fillId="13" borderId="113" xfId="0" applyNumberFormat="1" applyFont="1" applyFill="1" applyBorder="1" applyAlignment="1">
      <alignment horizontal="center"/>
    </xf>
    <xf numFmtId="165" fontId="20" fillId="13" borderId="114" xfId="1" applyFont="1" applyFill="1" applyBorder="1" applyAlignment="1" applyProtection="1">
      <alignment horizontal="right"/>
    </xf>
    <xf numFmtId="0" fontId="46" fillId="23" borderId="101" xfId="0" applyFont="1" applyFill="1" applyBorder="1"/>
    <xf numFmtId="166" fontId="20" fillId="23" borderId="18" xfId="0" applyNumberFormat="1" applyFont="1" applyFill="1" applyBorder="1" applyAlignment="1">
      <alignment horizontal="center"/>
    </xf>
    <xf numFmtId="169" fontId="20" fillId="23" borderId="18" xfId="0" applyNumberFormat="1" applyFont="1" applyFill="1" applyBorder="1" applyAlignment="1">
      <alignment horizontal="center"/>
    </xf>
    <xf numFmtId="165" fontId="20" fillId="23" borderId="102" xfId="1" applyFont="1" applyFill="1" applyBorder="1" applyAlignment="1" applyProtection="1">
      <alignment horizontal="right"/>
    </xf>
    <xf numFmtId="0" fontId="46" fillId="23" borderId="115" xfId="0" applyFont="1" applyFill="1" applyBorder="1"/>
    <xf numFmtId="166" fontId="20" fillId="23" borderId="113" xfId="0" applyNumberFormat="1" applyFont="1" applyFill="1" applyBorder="1" applyAlignment="1">
      <alignment horizontal="center"/>
    </xf>
    <xf numFmtId="169" fontId="20" fillId="23" borderId="113" xfId="0" applyNumberFormat="1" applyFont="1" applyFill="1" applyBorder="1" applyAlignment="1">
      <alignment horizontal="center"/>
    </xf>
    <xf numFmtId="165" fontId="20" fillId="23" borderId="114" xfId="1" applyFont="1" applyFill="1" applyBorder="1" applyAlignment="1" applyProtection="1">
      <alignment horizontal="right"/>
    </xf>
    <xf numFmtId="0" fontId="79" fillId="12" borderId="2" xfId="0" applyFont="1" applyFill="1" applyBorder="1"/>
    <xf numFmtId="0" fontId="20" fillId="12" borderId="3" xfId="0" applyFont="1" applyFill="1" applyBorder="1"/>
    <xf numFmtId="169" fontId="124" fillId="12" borderId="7" xfId="0" applyNumberFormat="1" applyFont="1" applyFill="1" applyBorder="1" applyAlignment="1">
      <alignment horizontal="center"/>
    </xf>
    <xf numFmtId="165" fontId="79" fillId="12" borderId="31" xfId="1" applyFont="1" applyFill="1" applyBorder="1" applyAlignment="1" applyProtection="1"/>
    <xf numFmtId="0" fontId="79" fillId="12" borderId="5" xfId="0" applyFont="1" applyFill="1" applyBorder="1"/>
    <xf numFmtId="165" fontId="19" fillId="12" borderId="6" xfId="1" applyFont="1" applyFill="1" applyBorder="1" applyAlignment="1" applyProtection="1"/>
    <xf numFmtId="165" fontId="79" fillId="12" borderId="10" xfId="1" applyFont="1" applyFill="1" applyBorder="1" applyAlignment="1" applyProtection="1"/>
    <xf numFmtId="165" fontId="79" fillId="12" borderId="12" xfId="1" applyFont="1" applyFill="1" applyBorder="1" applyAlignment="1" applyProtection="1">
      <alignment horizontal="right"/>
    </xf>
    <xf numFmtId="0" fontId="17" fillId="4" borderId="0" xfId="3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11" fillId="4" borderId="0" xfId="0" applyFont="1" applyFill="1" applyAlignment="1">
      <alignment horizontal="left"/>
    </xf>
    <xf numFmtId="0" fontId="41" fillId="4" borderId="0" xfId="0" applyFont="1" applyFill="1" applyAlignment="1">
      <alignment horizontal="left" vertical="center"/>
    </xf>
    <xf numFmtId="0" fontId="53" fillId="20" borderId="86" xfId="0" applyFont="1" applyFill="1" applyBorder="1" applyAlignment="1">
      <alignment vertical="center"/>
    </xf>
    <xf numFmtId="0" fontId="52" fillId="19" borderId="11" xfId="0" applyFont="1" applyFill="1" applyBorder="1" applyAlignment="1">
      <alignment vertical="center"/>
    </xf>
    <xf numFmtId="0" fontId="53" fillId="20" borderId="76" xfId="0" applyFont="1" applyFill="1" applyBorder="1"/>
    <xf numFmtId="0" fontId="52" fillId="19" borderId="13" xfId="0" applyFont="1" applyFill="1" applyBorder="1"/>
    <xf numFmtId="165" fontId="53" fillId="20" borderId="13" xfId="0" applyNumberFormat="1" applyFont="1" applyFill="1" applyBorder="1" applyAlignment="1">
      <alignment horizontal="center"/>
    </xf>
    <xf numFmtId="165" fontId="53" fillId="20" borderId="14" xfId="0" applyNumberFormat="1" applyFont="1" applyFill="1" applyBorder="1" applyAlignment="1">
      <alignment horizontal="center"/>
    </xf>
    <xf numFmtId="0" fontId="19" fillId="0" borderId="20" xfId="0" applyFont="1" applyBorder="1"/>
    <xf numFmtId="0" fontId="0" fillId="0" borderId="16" xfId="0" applyBorder="1"/>
    <xf numFmtId="0" fontId="103" fillId="4" borderId="0" xfId="0" applyFont="1" applyFill="1" applyAlignment="1">
      <alignment horizontal="center" vertical="center" textRotation="90"/>
    </xf>
    <xf numFmtId="0" fontId="103" fillId="0" borderId="0" xfId="0" applyFont="1" applyAlignment="1">
      <alignment horizontal="center" vertical="center" textRotation="90"/>
    </xf>
    <xf numFmtId="0" fontId="66" fillId="0" borderId="20" xfId="0" applyFont="1" applyBorder="1"/>
    <xf numFmtId="0" fontId="67" fillId="0" borderId="16" xfId="0" applyFont="1" applyBorder="1"/>
    <xf numFmtId="0" fontId="64" fillId="0" borderId="32" xfId="0" applyFont="1" applyBorder="1"/>
    <xf numFmtId="0" fontId="0" fillId="0" borderId="50" xfId="0" applyBorder="1"/>
    <xf numFmtId="0" fontId="74" fillId="7" borderId="30" xfId="0" applyFont="1" applyFill="1" applyBorder="1" applyAlignment="1">
      <alignment horizontal="center" vertical="center"/>
    </xf>
    <xf numFmtId="0" fontId="75" fillId="7" borderId="13" xfId="0" applyFont="1" applyFill="1" applyBorder="1" applyAlignment="1">
      <alignment vertical="center"/>
    </xf>
    <xf numFmtId="0" fontId="75" fillId="7" borderId="14" xfId="0" applyFont="1" applyFill="1" applyBorder="1" applyAlignment="1">
      <alignment vertical="center"/>
    </xf>
    <xf numFmtId="0" fontId="32" fillId="4" borderId="0" xfId="0" applyFont="1" applyFill="1" applyAlignment="1">
      <alignment horizontal="center"/>
    </xf>
    <xf numFmtId="0" fontId="19" fillId="0" borderId="32" xfId="0" applyFont="1" applyBorder="1"/>
    <xf numFmtId="0" fontId="19" fillId="0" borderId="17" xfId="0" applyFont="1" applyBorder="1"/>
    <xf numFmtId="0" fontId="0" fillId="0" borderId="18" xfId="0" applyBorder="1"/>
    <xf numFmtId="0" fontId="87" fillId="0" borderId="86" xfId="0" applyFont="1" applyBorder="1"/>
    <xf numFmtId="0" fontId="88" fillId="0" borderId="11" xfId="0" applyFont="1" applyBorder="1"/>
    <xf numFmtId="172" fontId="79" fillId="0" borderId="76" xfId="0" applyNumberFormat="1" applyFont="1" applyBorder="1" applyAlignment="1">
      <alignment horizontal="center"/>
    </xf>
    <xf numFmtId="172" fontId="88" fillId="0" borderId="14" xfId="0" applyNumberFormat="1" applyFont="1" applyBorder="1"/>
    <xf numFmtId="1" fontId="15" fillId="4" borderId="0" xfId="1" applyNumberFormat="1" applyFont="1" applyFill="1" applyBorder="1" applyAlignment="1" applyProtection="1">
      <alignment horizontal="center" vertical="center" textRotation="255"/>
    </xf>
    <xf numFmtId="0" fontId="103" fillId="4" borderId="0" xfId="0" applyFont="1" applyFill="1" applyAlignment="1">
      <alignment horizontal="center" textRotation="90"/>
    </xf>
    <xf numFmtId="0" fontId="103" fillId="0" borderId="0" xfId="0" applyFont="1" applyAlignment="1">
      <alignment horizontal="center" textRotation="90"/>
    </xf>
    <xf numFmtId="0" fontId="87" fillId="0" borderId="76" xfId="0" applyFont="1" applyBorder="1"/>
    <xf numFmtId="0" fontId="88" fillId="0" borderId="13" xfId="0" applyFont="1" applyBorder="1"/>
    <xf numFmtId="0" fontId="46" fillId="0" borderId="32" xfId="0" applyFont="1" applyBorder="1"/>
    <xf numFmtId="172" fontId="79" fillId="0" borderId="86" xfId="0" applyNumberFormat="1" applyFont="1" applyBorder="1" applyAlignment="1">
      <alignment horizontal="center"/>
    </xf>
    <xf numFmtId="172" fontId="88" fillId="0" borderId="12" xfId="0" applyNumberFormat="1" applyFont="1" applyBorder="1"/>
    <xf numFmtId="0" fontId="90" fillId="0" borderId="50" xfId="0" applyFont="1" applyBorder="1"/>
    <xf numFmtId="0" fontId="19" fillId="0" borderId="32" xfId="0" applyFont="1" applyBorder="1" applyAlignment="1">
      <alignment vertical="center"/>
    </xf>
    <xf numFmtId="0" fontId="0" fillId="0" borderId="50" xfId="0" applyBorder="1" applyAlignment="1">
      <alignment vertical="center"/>
    </xf>
    <xf numFmtId="0" fontId="17" fillId="0" borderId="0" xfId="3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33" xfId="0" applyFont="1" applyBorder="1"/>
    <xf numFmtId="0" fontId="0" fillId="0" borderId="51" xfId="0" applyBorder="1"/>
    <xf numFmtId="0" fontId="53" fillId="20" borderId="30" xfId="0" applyFont="1" applyFill="1" applyBorder="1"/>
    <xf numFmtId="0" fontId="87" fillId="0" borderId="110" xfId="0" applyFont="1" applyBorder="1"/>
    <xf numFmtId="0" fontId="88" fillId="0" borderId="85" xfId="0" applyFont="1" applyBorder="1"/>
    <xf numFmtId="0" fontId="12" fillId="4" borderId="0" xfId="0" applyFont="1" applyFill="1" applyAlignment="1">
      <alignment horizontal="center"/>
    </xf>
    <xf numFmtId="0" fontId="80" fillId="7" borderId="76" xfId="0" applyFont="1" applyFill="1" applyBorder="1" applyAlignment="1">
      <alignment horizontal="center" vertical="center"/>
    </xf>
    <xf numFmtId="0" fontId="75" fillId="7" borderId="13" xfId="0" applyFont="1" applyFill="1" applyBorder="1" applyAlignment="1">
      <alignment horizontal="center" vertical="center"/>
    </xf>
    <xf numFmtId="0" fontId="75" fillId="7" borderId="14" xfId="0" applyFont="1" applyFill="1" applyBorder="1" applyAlignment="1">
      <alignment horizontal="center" vertical="center"/>
    </xf>
    <xf numFmtId="0" fontId="19" fillId="0" borderId="7" xfId="0" applyFont="1" applyBorder="1"/>
    <xf numFmtId="0" fontId="0" fillId="0" borderId="8" xfId="0" applyBorder="1"/>
    <xf numFmtId="0" fontId="14" fillId="2" borderId="0" xfId="0" applyFont="1" applyFill="1" applyAlignment="1">
      <alignment horizontal="center"/>
    </xf>
    <xf numFmtId="0" fontId="19" fillId="0" borderId="10" xfId="0" applyFont="1" applyBorder="1"/>
    <xf numFmtId="0" fontId="0" fillId="0" borderId="11" xfId="0" applyBorder="1"/>
    <xf numFmtId="0" fontId="71" fillId="16" borderId="11" xfId="0" applyFont="1" applyFill="1" applyBorder="1" applyAlignment="1">
      <alignment horizontal="left" vertical="center"/>
    </xf>
    <xf numFmtId="0" fontId="73" fillId="14" borderId="12" xfId="0" applyFont="1" applyFill="1" applyBorder="1" applyAlignment="1">
      <alignment horizontal="left" vertical="center"/>
    </xf>
    <xf numFmtId="0" fontId="80" fillId="7" borderId="15" xfId="0" applyFont="1" applyFill="1" applyBorder="1" applyAlignment="1">
      <alignment horizontal="left"/>
    </xf>
    <xf numFmtId="0" fontId="80" fillId="7" borderId="14" xfId="0" applyFont="1" applyFill="1" applyBorder="1" applyAlignment="1">
      <alignment horizontal="left"/>
    </xf>
    <xf numFmtId="165" fontId="53" fillId="18" borderId="4" xfId="0" applyNumberFormat="1" applyFont="1" applyFill="1" applyBorder="1" applyAlignment="1">
      <alignment horizontal="center"/>
    </xf>
    <xf numFmtId="0" fontId="19" fillId="0" borderId="95" xfId="0" applyFont="1" applyBorder="1" applyAlignment="1">
      <alignment vertical="center"/>
    </xf>
    <xf numFmtId="0" fontId="19" fillId="0" borderId="96" xfId="0" applyFont="1" applyBorder="1" applyAlignment="1">
      <alignment vertical="center"/>
    </xf>
    <xf numFmtId="0" fontId="51" fillId="15" borderId="7" xfId="0" applyFont="1" applyFill="1" applyBorder="1" applyAlignment="1">
      <alignment horizontal="center" vertical="center"/>
    </xf>
    <xf numFmtId="0" fontId="51" fillId="15" borderId="8" xfId="0" applyFont="1" applyFill="1" applyBorder="1" applyAlignment="1">
      <alignment horizontal="center" vertical="center"/>
    </xf>
    <xf numFmtId="0" fontId="51" fillId="15" borderId="3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74" fontId="57" fillId="15" borderId="9" xfId="0" applyNumberFormat="1" applyFont="1" applyFill="1" applyBorder="1" applyAlignment="1">
      <alignment horizontal="center" vertical="center"/>
    </xf>
    <xf numFmtId="174" fontId="57" fillId="15" borderId="0" xfId="0" applyNumberFormat="1" applyFont="1" applyFill="1" applyAlignment="1">
      <alignment horizontal="center" vertical="center"/>
    </xf>
    <xf numFmtId="174" fontId="57" fillId="15" borderId="38" xfId="0" applyNumberFormat="1" applyFont="1" applyFill="1" applyBorder="1" applyAlignment="1">
      <alignment horizontal="center" vertical="center"/>
    </xf>
    <xf numFmtId="0" fontId="58" fillId="14" borderId="9" xfId="0" applyFont="1" applyFill="1" applyBorder="1"/>
    <xf numFmtId="0" fontId="58" fillId="14" borderId="0" xfId="0" applyFont="1" applyFill="1"/>
    <xf numFmtId="0" fontId="58" fillId="14" borderId="38" xfId="0" applyFont="1" applyFill="1" applyBorder="1"/>
    <xf numFmtId="0" fontId="61" fillId="0" borderId="86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51" fillId="19" borderId="76" xfId="0" applyFont="1" applyFill="1" applyBorder="1"/>
    <xf numFmtId="0" fontId="51" fillId="19" borderId="94" xfId="0" applyFont="1" applyFill="1" applyBorder="1"/>
    <xf numFmtId="0" fontId="74" fillId="7" borderId="76" xfId="0" applyFont="1" applyFill="1" applyBorder="1" applyAlignment="1">
      <alignment horizontal="center" vertical="center"/>
    </xf>
    <xf numFmtId="0" fontId="74" fillId="7" borderId="13" xfId="0" applyFont="1" applyFill="1" applyBorder="1" applyAlignment="1">
      <alignment horizontal="center" vertical="center"/>
    </xf>
    <xf numFmtId="0" fontId="74" fillId="7" borderId="14" xfId="0" applyFont="1" applyFill="1" applyBorder="1" applyAlignment="1">
      <alignment horizontal="center" vertical="center"/>
    </xf>
    <xf numFmtId="0" fontId="33" fillId="0" borderId="76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80" fillId="7" borderId="76" xfId="0" applyFont="1" applyFill="1" applyBorder="1"/>
    <xf numFmtId="0" fontId="80" fillId="7" borderId="14" xfId="0" applyFont="1" applyFill="1" applyBorder="1"/>
    <xf numFmtId="165" fontId="53" fillId="18" borderId="93" xfId="1" applyFont="1" applyFill="1" applyBorder="1" applyAlignment="1" applyProtection="1">
      <alignment horizontal="center"/>
    </xf>
    <xf numFmtId="165" fontId="53" fillId="18" borderId="1" xfId="1" applyFont="1" applyFill="1" applyBorder="1" applyAlignment="1" applyProtection="1">
      <alignment horizontal="center"/>
    </xf>
    <xf numFmtId="0" fontId="19" fillId="0" borderId="52" xfId="0" applyFont="1" applyBorder="1" applyAlignment="1">
      <alignment vertical="center"/>
    </xf>
    <xf numFmtId="0" fontId="19" fillId="0" borderId="53" xfId="0" applyFont="1" applyBorder="1" applyAlignment="1">
      <alignment vertical="center"/>
    </xf>
    <xf numFmtId="165" fontId="56" fillId="0" borderId="66" xfId="1" applyFont="1" applyFill="1" applyBorder="1" applyAlignment="1" applyProtection="1">
      <alignment horizontal="right"/>
    </xf>
    <xf numFmtId="165" fontId="56" fillId="0" borderId="67" xfId="1" applyFont="1" applyFill="1" applyBorder="1" applyAlignment="1" applyProtection="1">
      <alignment horizontal="right"/>
    </xf>
    <xf numFmtId="165" fontId="56" fillId="0" borderId="68" xfId="1" applyFont="1" applyFill="1" applyBorder="1" applyAlignment="1" applyProtection="1">
      <alignment horizontal="right"/>
    </xf>
    <xf numFmtId="0" fontId="76" fillId="8" borderId="2" xfId="0" applyFont="1" applyFill="1" applyBorder="1" applyAlignment="1">
      <alignment horizontal="center" vertical="center"/>
    </xf>
    <xf numFmtId="0" fontId="77" fillId="7" borderId="3" xfId="0" applyFont="1" applyFill="1" applyBorder="1" applyAlignment="1">
      <alignment horizontal="center" vertical="center"/>
    </xf>
    <xf numFmtId="0" fontId="77" fillId="7" borderId="4" xfId="0" applyFont="1" applyFill="1" applyBorder="1" applyAlignment="1">
      <alignment horizontal="center" vertical="center"/>
    </xf>
    <xf numFmtId="0" fontId="59" fillId="14" borderId="7" xfId="0" applyFont="1" applyFill="1" applyBorder="1" applyAlignment="1">
      <alignment vertical="center"/>
    </xf>
    <xf numFmtId="0" fontId="60" fillId="14" borderId="10" xfId="0" applyFont="1" applyFill="1" applyBorder="1" applyAlignment="1">
      <alignment vertical="center"/>
    </xf>
    <xf numFmtId="165" fontId="57" fillId="14" borderId="8" xfId="1" applyFont="1" applyFill="1" applyBorder="1" applyAlignment="1" applyProtection="1">
      <alignment horizontal="center" vertical="center"/>
    </xf>
    <xf numFmtId="0" fontId="58" fillId="14" borderId="8" xfId="0" applyFont="1" applyFill="1" applyBorder="1" applyAlignment="1">
      <alignment horizontal="center" vertical="center"/>
    </xf>
    <xf numFmtId="0" fontId="58" fillId="14" borderId="31" xfId="0" applyFont="1" applyFill="1" applyBorder="1" applyAlignment="1">
      <alignment horizontal="center" vertical="center"/>
    </xf>
    <xf numFmtId="0" fontId="58" fillId="14" borderId="11" xfId="0" applyFont="1" applyFill="1" applyBorder="1" applyAlignment="1">
      <alignment horizontal="center" vertical="center"/>
    </xf>
    <xf numFmtId="0" fontId="58" fillId="14" borderId="12" xfId="0" applyFont="1" applyFill="1" applyBorder="1" applyAlignment="1">
      <alignment horizontal="center" vertical="center"/>
    </xf>
    <xf numFmtId="0" fontId="61" fillId="0" borderId="110" xfId="0" applyFon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6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9" fillId="4" borderId="0" xfId="0" applyFont="1" applyFill="1" applyAlignment="1">
      <alignment vertical="center"/>
    </xf>
    <xf numFmtId="0" fontId="130" fillId="4" borderId="0" xfId="0" applyFont="1" applyFill="1" applyAlignment="1">
      <alignment vertical="center"/>
    </xf>
    <xf numFmtId="165" fontId="57" fillId="4" borderId="0" xfId="1" applyFont="1" applyFill="1" applyBorder="1" applyAlignment="1" applyProtection="1">
      <alignment horizontal="center" vertical="center"/>
    </xf>
    <xf numFmtId="0" fontId="129" fillId="4" borderId="0" xfId="0" applyFont="1" applyFill="1" applyAlignment="1">
      <alignment horizontal="center" vertical="center"/>
    </xf>
    <xf numFmtId="165" fontId="56" fillId="4" borderId="87" xfId="1" applyFont="1" applyFill="1" applyBorder="1" applyAlignment="1" applyProtection="1">
      <alignment horizontal="right"/>
    </xf>
    <xf numFmtId="165" fontId="56" fillId="4" borderId="83" xfId="1" applyFont="1" applyFill="1" applyBorder="1" applyAlignment="1" applyProtection="1">
      <alignment horizontal="right"/>
    </xf>
    <xf numFmtId="165" fontId="56" fillId="4" borderId="84" xfId="1" applyFont="1" applyFill="1" applyBorder="1" applyAlignment="1" applyProtection="1">
      <alignment horizontal="right"/>
    </xf>
    <xf numFmtId="0" fontId="83" fillId="14" borderId="7" xfId="0" applyFont="1" applyFill="1" applyBorder="1" applyAlignment="1">
      <alignment vertical="center"/>
    </xf>
    <xf numFmtId="0" fontId="84" fillId="14" borderId="10" xfId="0" applyFont="1" applyFill="1" applyBorder="1" applyAlignment="1">
      <alignment vertical="center"/>
    </xf>
    <xf numFmtId="165" fontId="56" fillId="4" borderId="66" xfId="1" applyFont="1" applyFill="1" applyBorder="1" applyAlignment="1" applyProtection="1">
      <alignment horizontal="right"/>
    </xf>
    <xf numFmtId="165" fontId="56" fillId="4" borderId="67" xfId="1" applyFont="1" applyFill="1" applyBorder="1" applyAlignment="1" applyProtection="1">
      <alignment horizontal="right"/>
    </xf>
    <xf numFmtId="165" fontId="56" fillId="4" borderId="68" xfId="1" applyFont="1" applyFill="1" applyBorder="1" applyAlignment="1" applyProtection="1">
      <alignment horizontal="right"/>
    </xf>
    <xf numFmtId="165" fontId="20" fillId="4" borderId="0" xfId="1" applyFont="1" applyFill="1" applyBorder="1" applyAlignment="1" applyProtection="1"/>
    <xf numFmtId="0" fontId="0" fillId="4" borderId="0" xfId="0" applyFill="1"/>
    <xf numFmtId="165" fontId="115" fillId="12" borderId="11" xfId="1" applyFont="1" applyFill="1" applyBorder="1" applyAlignment="1" applyProtection="1">
      <alignment horizontal="right"/>
    </xf>
    <xf numFmtId="0" fontId="116" fillId="12" borderId="11" xfId="0" applyFont="1" applyFill="1" applyBorder="1" applyAlignment="1">
      <alignment horizontal="right"/>
    </xf>
    <xf numFmtId="0" fontId="116" fillId="12" borderId="12" xfId="0" applyFont="1" applyFill="1" applyBorder="1" applyAlignment="1">
      <alignment horizontal="right"/>
    </xf>
    <xf numFmtId="165" fontId="15" fillId="0" borderId="32" xfId="1" applyFont="1" applyFill="1" applyBorder="1" applyAlignment="1" applyProtection="1"/>
    <xf numFmtId="165" fontId="15" fillId="0" borderId="35" xfId="1" applyFont="1" applyFill="1" applyBorder="1" applyAlignment="1" applyProtection="1"/>
    <xf numFmtId="165" fontId="56" fillId="0" borderId="9" xfId="1" applyFont="1" applyFill="1" applyBorder="1" applyAlignment="1" applyProtection="1">
      <alignment horizontal="right"/>
    </xf>
    <xf numFmtId="0" fontId="0" fillId="0" borderId="0" xfId="0" applyAlignment="1">
      <alignment horizontal="right"/>
    </xf>
    <xf numFmtId="0" fontId="0" fillId="0" borderId="38" xfId="0" applyBorder="1" applyAlignment="1">
      <alignment horizontal="right"/>
    </xf>
    <xf numFmtId="165" fontId="15" fillId="0" borderId="33" xfId="1" applyFont="1" applyFill="1" applyBorder="1" applyAlignment="1" applyProtection="1"/>
    <xf numFmtId="165" fontId="15" fillId="0" borderId="36" xfId="1" applyFont="1" applyFill="1" applyBorder="1" applyAlignment="1" applyProtection="1"/>
    <xf numFmtId="165" fontId="115" fillId="12" borderId="13" xfId="1" applyFont="1" applyFill="1" applyBorder="1" applyAlignment="1" applyProtection="1">
      <alignment horizontal="right"/>
    </xf>
    <xf numFmtId="0" fontId="116" fillId="12" borderId="13" xfId="0" applyFont="1" applyFill="1" applyBorder="1" applyAlignment="1">
      <alignment horizontal="right"/>
    </xf>
    <xf numFmtId="0" fontId="116" fillId="12" borderId="14" xfId="0" applyFont="1" applyFill="1" applyBorder="1" applyAlignment="1">
      <alignment horizontal="right"/>
    </xf>
    <xf numFmtId="165" fontId="15" fillId="0" borderId="11" xfId="1" applyFont="1" applyFill="1" applyBorder="1" applyAlignment="1" applyProtection="1"/>
    <xf numFmtId="165" fontId="15" fillId="0" borderId="12" xfId="1" applyFont="1" applyFill="1" applyBorder="1" applyAlignment="1" applyProtection="1"/>
    <xf numFmtId="165" fontId="56" fillId="0" borderId="10" xfId="1" applyFont="1" applyFill="1" applyBorder="1" applyAlignment="1" applyProtection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165" fontId="15" fillId="12" borderId="76" xfId="1" applyFont="1" applyFill="1" applyBorder="1" applyAlignment="1" applyProtection="1"/>
    <xf numFmtId="165" fontId="15" fillId="12" borderId="14" xfId="1" applyFont="1" applyFill="1" applyBorder="1" applyAlignment="1" applyProtection="1"/>
    <xf numFmtId="165" fontId="19" fillId="0" borderId="76" xfId="1" applyFont="1" applyFill="1" applyBorder="1" applyAlignment="1" applyProtection="1">
      <alignment horizontal="right"/>
    </xf>
    <xf numFmtId="0" fontId="125" fillId="0" borderId="13" xfId="0" applyFont="1" applyBorder="1" applyAlignment="1">
      <alignment horizontal="right"/>
    </xf>
    <xf numFmtId="0" fontId="125" fillId="0" borderId="14" xfId="0" applyFont="1" applyBorder="1" applyAlignment="1">
      <alignment horizontal="right"/>
    </xf>
    <xf numFmtId="165" fontId="15" fillId="0" borderId="52" xfId="1" applyFont="1" applyFill="1" applyBorder="1" applyAlignment="1" applyProtection="1"/>
    <xf numFmtId="165" fontId="15" fillId="0" borderId="58" xfId="1" applyFont="1" applyFill="1" applyBorder="1" applyAlignment="1" applyProtection="1"/>
    <xf numFmtId="165" fontId="115" fillId="12" borderId="0" xfId="1" applyFont="1" applyFill="1" applyBorder="1" applyAlignment="1" applyProtection="1">
      <alignment horizontal="right"/>
    </xf>
    <xf numFmtId="0" fontId="116" fillId="12" borderId="0" xfId="0" applyFont="1" applyFill="1" applyAlignment="1">
      <alignment horizontal="right"/>
    </xf>
    <xf numFmtId="0" fontId="116" fillId="12" borderId="38" xfId="0" applyFont="1" applyFill="1" applyBorder="1" applyAlignment="1">
      <alignment horizontal="right"/>
    </xf>
    <xf numFmtId="165" fontId="74" fillId="8" borderId="8" xfId="1" applyFont="1" applyFill="1" applyBorder="1" applyAlignment="1" applyProtection="1">
      <alignment vertical="center"/>
    </xf>
    <xf numFmtId="0" fontId="75" fillId="0" borderId="31" xfId="0" applyFont="1" applyBorder="1" applyAlignment="1">
      <alignment vertical="center"/>
    </xf>
    <xf numFmtId="165" fontId="56" fillId="0" borderId="88" xfId="1" applyFont="1" applyFill="1" applyBorder="1" applyAlignment="1" applyProtection="1">
      <alignment horizontal="right"/>
    </xf>
    <xf numFmtId="165" fontId="56" fillId="0" borderId="89" xfId="1" applyFont="1" applyFill="1" applyBorder="1" applyAlignment="1" applyProtection="1">
      <alignment horizontal="right"/>
    </xf>
    <xf numFmtId="165" fontId="56" fillId="0" borderId="90" xfId="1" applyFont="1" applyFill="1" applyBorder="1" applyAlignment="1" applyProtection="1">
      <alignment horizontal="right"/>
    </xf>
    <xf numFmtId="165" fontId="15" fillId="0" borderId="60" xfId="1" applyFont="1" applyFill="1" applyBorder="1" applyAlignment="1" applyProtection="1"/>
    <xf numFmtId="165" fontId="15" fillId="0" borderId="29" xfId="1" applyFont="1" applyFill="1" applyBorder="1" applyAlignment="1" applyProtection="1"/>
    <xf numFmtId="165" fontId="15" fillId="0" borderId="77" xfId="1" applyFont="1" applyFill="1" applyBorder="1" applyAlignment="1" applyProtection="1"/>
    <xf numFmtId="0" fontId="9" fillId="4" borderId="33" xfId="0" applyFont="1" applyFill="1" applyBorder="1"/>
    <xf numFmtId="0" fontId="0" fillId="0" borderId="61" xfId="0" applyBorder="1"/>
    <xf numFmtId="172" fontId="86" fillId="0" borderId="33" xfId="0" applyNumberFormat="1" applyFont="1" applyBorder="1"/>
    <xf numFmtId="172" fontId="86" fillId="0" borderId="36" xfId="0" applyNumberFormat="1" applyFont="1" applyBorder="1"/>
    <xf numFmtId="165" fontId="47" fillId="15" borderId="13" xfId="1" applyFont="1" applyFill="1" applyBorder="1" applyAlignment="1" applyProtection="1">
      <alignment horizontal="center" vertical="center"/>
    </xf>
    <xf numFmtId="0" fontId="48" fillId="14" borderId="14" xfId="0" applyFont="1" applyFill="1" applyBorder="1" applyAlignment="1">
      <alignment horizontal="center" vertical="center"/>
    </xf>
    <xf numFmtId="0" fontId="76" fillId="8" borderId="43" xfId="0" applyFont="1" applyFill="1" applyBorder="1" applyAlignment="1">
      <alignment horizontal="center" vertical="center"/>
    </xf>
    <xf numFmtId="0" fontId="77" fillId="7" borderId="44" xfId="0" applyFont="1" applyFill="1" applyBorder="1" applyAlignment="1">
      <alignment horizontal="center" vertical="center"/>
    </xf>
    <xf numFmtId="0" fontId="77" fillId="7" borderId="45" xfId="0" applyFont="1" applyFill="1" applyBorder="1" applyAlignment="1">
      <alignment horizontal="center" vertical="center"/>
    </xf>
    <xf numFmtId="0" fontId="9" fillId="4" borderId="32" xfId="0" applyFont="1" applyFill="1" applyBorder="1"/>
    <xf numFmtId="0" fontId="0" fillId="0" borderId="75" xfId="0" applyBorder="1"/>
    <xf numFmtId="172" fontId="86" fillId="0" borderId="32" xfId="0" applyNumberFormat="1" applyFont="1" applyBorder="1"/>
    <xf numFmtId="172" fontId="86" fillId="0" borderId="35" xfId="0" applyNumberFormat="1" applyFont="1" applyBorder="1"/>
    <xf numFmtId="0" fontId="53" fillId="4" borderId="0" xfId="0" applyFont="1" applyFill="1"/>
    <xf numFmtId="0" fontId="52" fillId="4" borderId="0" xfId="0" applyFont="1" applyFill="1"/>
    <xf numFmtId="172" fontId="72" fillId="4" borderId="0" xfId="0" applyNumberFormat="1" applyFont="1" applyFill="1"/>
    <xf numFmtId="0" fontId="9" fillId="14" borderId="76" xfId="0" applyFont="1" applyFill="1" applyBorder="1"/>
    <xf numFmtId="0" fontId="0" fillId="14" borderId="13" xfId="0" applyFill="1" applyBorder="1"/>
    <xf numFmtId="172" fontId="72" fillId="14" borderId="13" xfId="0" applyNumberFormat="1" applyFont="1" applyFill="1" applyBorder="1"/>
    <xf numFmtId="172" fontId="72" fillId="14" borderId="14" xfId="0" applyNumberFormat="1" applyFont="1" applyFill="1" applyBorder="1"/>
    <xf numFmtId="0" fontId="19" fillId="4" borderId="32" xfId="0" applyFont="1" applyFill="1" applyBorder="1"/>
    <xf numFmtId="0" fontId="9" fillId="4" borderId="22" xfId="0" applyFont="1" applyFill="1" applyBorder="1"/>
    <xf numFmtId="0" fontId="0" fillId="0" borderId="64" xfId="0" applyBorder="1"/>
    <xf numFmtId="172" fontId="86" fillId="0" borderId="22" xfId="0" applyNumberFormat="1" applyFont="1" applyBorder="1"/>
    <xf numFmtId="172" fontId="86" fillId="0" borderId="24" xfId="0" applyNumberFormat="1" applyFont="1" applyBorder="1"/>
    <xf numFmtId="0" fontId="9" fillId="4" borderId="72" xfId="0" applyFont="1" applyFill="1" applyBorder="1"/>
    <xf numFmtId="0" fontId="0" fillId="0" borderId="62" xfId="0" applyBorder="1"/>
    <xf numFmtId="172" fontId="86" fillId="0" borderId="72" xfId="0" applyNumberFormat="1" applyFont="1" applyBorder="1"/>
    <xf numFmtId="172" fontId="86" fillId="0" borderId="74" xfId="0" applyNumberFormat="1" applyFont="1" applyBorder="1"/>
    <xf numFmtId="0" fontId="19" fillId="4" borderId="52" xfId="0" applyFont="1" applyFill="1" applyBorder="1"/>
    <xf numFmtId="0" fontId="0" fillId="0" borderId="60" xfId="0" applyBorder="1"/>
    <xf numFmtId="172" fontId="86" fillId="0" borderId="52" xfId="0" applyNumberFormat="1" applyFont="1" applyBorder="1"/>
    <xf numFmtId="172" fontId="86" fillId="0" borderId="58" xfId="0" applyNumberFormat="1" applyFont="1" applyBorder="1"/>
    <xf numFmtId="165" fontId="100" fillId="11" borderId="0" xfId="1" applyFont="1" applyFill="1" applyBorder="1" applyAlignment="1" applyProtection="1">
      <alignment horizontal="center" vertical="center"/>
    </xf>
    <xf numFmtId="0" fontId="101" fillId="10" borderId="0" xfId="0" applyFont="1" applyFill="1" applyAlignment="1">
      <alignment horizontal="center" vertical="center"/>
    </xf>
    <xf numFmtId="165" fontId="47" fillId="2" borderId="0" xfId="1" applyFont="1" applyFill="1" applyBorder="1" applyAlignment="1" applyProtection="1">
      <alignment horizontal="center" vertical="center"/>
    </xf>
    <xf numFmtId="0" fontId="107" fillId="4" borderId="0" xfId="0" applyFont="1" applyFill="1" applyAlignment="1">
      <alignment horizontal="center" vertical="center"/>
    </xf>
    <xf numFmtId="0" fontId="74" fillId="7" borderId="7" xfId="0" applyFont="1" applyFill="1" applyBorder="1" applyAlignment="1">
      <alignment horizontal="center" vertical="center"/>
    </xf>
    <xf numFmtId="0" fontId="75" fillId="7" borderId="8" xfId="0" applyFont="1" applyFill="1" applyBorder="1" applyAlignment="1">
      <alignment vertical="center"/>
    </xf>
    <xf numFmtId="0" fontId="75" fillId="7" borderId="31" xfId="0" applyFont="1" applyFill="1" applyBorder="1" applyAlignment="1">
      <alignment vertical="center"/>
    </xf>
    <xf numFmtId="0" fontId="106" fillId="4" borderId="0" xfId="0" applyFont="1" applyFill="1" applyAlignment="1">
      <alignment horizontal="center" vertical="center"/>
    </xf>
    <xf numFmtId="0" fontId="52" fillId="4" borderId="0" xfId="0" applyFont="1" applyFill="1" applyAlignment="1">
      <alignment vertical="center"/>
    </xf>
    <xf numFmtId="0" fontId="9" fillId="4" borderId="17" xfId="0" applyFont="1" applyFill="1" applyBorder="1"/>
    <xf numFmtId="0" fontId="0" fillId="0" borderId="63" xfId="0" applyBorder="1"/>
    <xf numFmtId="172" fontId="86" fillId="0" borderId="17" xfId="0" applyNumberFormat="1" applyFont="1" applyBorder="1"/>
    <xf numFmtId="172" fontId="86" fillId="0" borderId="19" xfId="0" applyNumberFormat="1" applyFont="1" applyBorder="1"/>
    <xf numFmtId="0" fontId="95" fillId="10" borderId="0" xfId="0" applyFont="1" applyFill="1"/>
    <xf numFmtId="0" fontId="93" fillId="10" borderId="0" xfId="0" applyFont="1" applyFill="1"/>
    <xf numFmtId="172" fontId="98" fillId="10" borderId="0" xfId="0" applyNumberFormat="1" applyFont="1" applyFill="1"/>
    <xf numFmtId="165" fontId="47" fillId="15" borderId="11" xfId="1" applyFont="1" applyFill="1" applyBorder="1" applyAlignment="1" applyProtection="1">
      <alignment horizontal="center" vertical="center"/>
    </xf>
    <xf numFmtId="0" fontId="48" fillId="14" borderId="12" xfId="0" applyFont="1" applyFill="1" applyBorder="1" applyAlignment="1">
      <alignment horizontal="center" vertical="center"/>
    </xf>
    <xf numFmtId="0" fontId="92" fillId="10" borderId="0" xfId="0" applyFont="1" applyFill="1" applyAlignment="1">
      <alignment horizontal="center" vertical="center"/>
    </xf>
    <xf numFmtId="0" fontId="93" fillId="10" borderId="0" xfId="0" applyFont="1" applyFill="1" applyAlignment="1">
      <alignment vertical="center"/>
    </xf>
    <xf numFmtId="0" fontId="14" fillId="4" borderId="33" xfId="0" applyFont="1" applyFill="1" applyBorder="1"/>
    <xf numFmtId="0" fontId="91" fillId="0" borderId="61" xfId="0" applyFont="1" applyBorder="1"/>
    <xf numFmtId="0" fontId="14" fillId="4" borderId="32" xfId="0" applyFont="1" applyFill="1" applyBorder="1"/>
    <xf numFmtId="0" fontId="91" fillId="0" borderId="75" xfId="0" applyFont="1" applyBorder="1"/>
    <xf numFmtId="172" fontId="86" fillId="0" borderId="29" xfId="0" applyNumberFormat="1" applyFont="1" applyBorder="1"/>
    <xf numFmtId="172" fontId="86" fillId="0" borderId="77" xfId="0" applyNumberFormat="1" applyFont="1" applyBorder="1"/>
    <xf numFmtId="0" fontId="14" fillId="4" borderId="52" xfId="0" applyFont="1" applyFill="1" applyBorder="1"/>
    <xf numFmtId="0" fontId="91" fillId="4" borderId="60" xfId="0" applyFont="1" applyFill="1" applyBorder="1"/>
    <xf numFmtId="172" fontId="86" fillId="4" borderId="52" xfId="0" applyNumberFormat="1" applyFont="1" applyFill="1" applyBorder="1"/>
    <xf numFmtId="172" fontId="86" fillId="4" borderId="58" xfId="0" applyNumberFormat="1" applyFont="1" applyFill="1" applyBorder="1"/>
    <xf numFmtId="172" fontId="86" fillId="0" borderId="75" xfId="0" applyNumberFormat="1" applyFont="1" applyBorder="1"/>
    <xf numFmtId="172" fontId="86" fillId="0" borderId="60" xfId="0" applyNumberFormat="1" applyFont="1" applyBorder="1"/>
    <xf numFmtId="0" fontId="110" fillId="0" borderId="66" xfId="0" applyFont="1" applyBorder="1" applyAlignment="1">
      <alignment horizontal="center" vertical="center"/>
    </xf>
    <xf numFmtId="0" fontId="110" fillId="0" borderId="67" xfId="0" applyFont="1" applyBorder="1" applyAlignment="1">
      <alignment horizontal="center" vertical="center"/>
    </xf>
    <xf numFmtId="0" fontId="110" fillId="0" borderId="68" xfId="0" applyFont="1" applyBorder="1" applyAlignment="1">
      <alignment horizontal="center" vertical="center"/>
    </xf>
    <xf numFmtId="0" fontId="0" fillId="0" borderId="76" xfId="0" applyBorder="1"/>
    <xf numFmtId="0" fontId="0" fillId="0" borderId="13" xfId="0" applyBorder="1"/>
    <xf numFmtId="0" fontId="0" fillId="0" borderId="14" xfId="0" applyBorder="1"/>
    <xf numFmtId="0" fontId="121" fillId="0" borderId="76" xfId="0" applyFont="1" applyBorder="1" applyAlignment="1">
      <alignment horizontal="center" vertical="center"/>
    </xf>
    <xf numFmtId="0" fontId="121" fillId="0" borderId="14" xfId="0" applyFont="1" applyBorder="1" applyAlignment="1">
      <alignment horizontal="center" vertical="center"/>
    </xf>
  </cellXfs>
  <cellStyles count="6">
    <cellStyle name="Excel Built-in Normal 1" xfId="3" xr:uid="{00000000-0005-0000-0000-000000000000}"/>
    <cellStyle name="Normale" xfId="0" builtinId="0"/>
    <cellStyle name="Normale 7" xfId="4" xr:uid="{F58A3A8C-EDFC-45A0-A53C-E718D270D6BA}"/>
    <cellStyle name="Percentuale" xfId="2" builtinId="5"/>
    <cellStyle name="Valuta" xfId="1" builtinId="4"/>
    <cellStyle name="Valuta 7" xfId="5" xr:uid="{65101EEB-CF23-4790-B5B5-6D69913F6571}"/>
  </cellStyles>
  <dxfs count="0"/>
  <tableStyles count="0" defaultTableStyle="TableStyleMedium2" defaultPivotStyle="PivotStyleLight16"/>
  <colors>
    <mruColors>
      <color rgb="FFCC33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55DD-4FBF-F64C-972C-AA3695423B53}">
  <sheetPr>
    <pageSetUpPr fitToPage="1"/>
  </sheetPr>
  <dimension ref="A1:AA140"/>
  <sheetViews>
    <sheetView tabSelected="1" topLeftCell="A40" zoomScale="60" zoomScaleNormal="60" zoomScalePageLayoutView="60" workbookViewId="0">
      <selection activeCell="F114" sqref="F114"/>
    </sheetView>
  </sheetViews>
  <sheetFormatPr defaultColWidth="8.7109375" defaultRowHeight="26.25" x14ac:dyDescent="0.4"/>
  <cols>
    <col min="1" max="2" width="3.85546875" customWidth="1"/>
    <col min="3" max="3" width="37.28515625" style="7" customWidth="1"/>
    <col min="4" max="4" width="16.42578125" style="7" bestFit="1" customWidth="1"/>
    <col min="5" max="5" width="9" style="7" customWidth="1"/>
    <col min="6" max="6" width="25.140625" style="7" customWidth="1"/>
    <col min="7" max="7" width="3.85546875" style="7" customWidth="1"/>
    <col min="8" max="8" width="4.42578125" style="7" hidden="1" customWidth="1"/>
    <col min="9" max="9" width="29.85546875" style="7" bestFit="1" customWidth="1"/>
    <col min="10" max="10" width="30.140625" style="7" customWidth="1"/>
    <col min="11" max="11" width="12.7109375" style="7" bestFit="1" customWidth="1"/>
    <col min="12" max="12" width="23.28515625" style="7" customWidth="1"/>
    <col min="13" max="13" width="3.85546875" customWidth="1"/>
    <col min="14" max="14" width="4.42578125" hidden="1" customWidth="1"/>
    <col min="15" max="15" width="31.140625" customWidth="1"/>
    <col min="16" max="16" width="21.42578125" customWidth="1"/>
    <col min="17" max="17" width="12.7109375" customWidth="1"/>
    <col min="18" max="18" width="21.42578125" bestFit="1" customWidth="1"/>
    <col min="19" max="19" width="3.42578125" customWidth="1"/>
    <col min="20" max="20" width="51.28515625" customWidth="1"/>
    <col min="21" max="21" width="18.42578125" customWidth="1"/>
    <col min="22" max="22" width="21" customWidth="1"/>
    <col min="23" max="23" width="21" style="205" bestFit="1" customWidth="1"/>
    <col min="24" max="24" width="16.7109375" customWidth="1"/>
  </cols>
  <sheetData>
    <row r="1" spans="1:24" ht="27" thickBot="1" x14ac:dyDescent="0.45">
      <c r="A1" s="41"/>
      <c r="B1" s="41"/>
      <c r="C1" s="58"/>
      <c r="D1" s="58"/>
      <c r="E1" s="58"/>
      <c r="F1" s="58"/>
      <c r="G1" s="58"/>
      <c r="H1" s="58"/>
      <c r="I1" s="58"/>
      <c r="J1" s="58"/>
      <c r="K1" s="58"/>
      <c r="L1" s="58"/>
      <c r="M1" s="41"/>
      <c r="N1" s="41"/>
      <c r="O1" s="41"/>
      <c r="P1" s="41"/>
      <c r="Q1" s="41"/>
      <c r="R1" s="41"/>
      <c r="S1" s="41"/>
      <c r="T1" s="41"/>
      <c r="U1" s="41"/>
      <c r="V1" s="41"/>
      <c r="W1" s="47"/>
      <c r="X1" s="41"/>
    </row>
    <row r="2" spans="1:24" ht="34.5" thickBot="1" x14ac:dyDescent="0.45">
      <c r="A2" s="41"/>
      <c r="B2" s="41"/>
      <c r="C2" s="609" t="s">
        <v>117</v>
      </c>
      <c r="D2" s="610"/>
      <c r="E2" s="610"/>
      <c r="F2" s="611"/>
      <c r="G2" s="58"/>
      <c r="H2" s="58"/>
      <c r="I2" s="609" t="s">
        <v>148</v>
      </c>
      <c r="J2" s="610"/>
      <c r="K2" s="610"/>
      <c r="L2" s="611"/>
      <c r="M2" s="41"/>
      <c r="N2" s="41"/>
      <c r="O2" s="609" t="s">
        <v>119</v>
      </c>
      <c r="P2" s="610"/>
      <c r="Q2" s="610"/>
      <c r="R2" s="611"/>
      <c r="S2" s="41"/>
      <c r="T2" s="243" t="s">
        <v>89</v>
      </c>
      <c r="U2" s="41"/>
      <c r="V2" s="41"/>
      <c r="W2" s="47"/>
      <c r="X2" s="41"/>
    </row>
    <row r="3" spans="1:24" ht="27" thickBot="1" x14ac:dyDescent="0.45">
      <c r="A3" s="41"/>
      <c r="B3" s="41"/>
      <c r="C3" s="120" t="s">
        <v>27</v>
      </c>
      <c r="D3" s="111" t="s">
        <v>28</v>
      </c>
      <c r="E3" s="120" t="s">
        <v>13</v>
      </c>
      <c r="F3" s="112" t="s">
        <v>29</v>
      </c>
      <c r="G3" s="58"/>
      <c r="H3" s="58"/>
      <c r="I3" s="120" t="s">
        <v>27</v>
      </c>
      <c r="J3" s="111" t="s">
        <v>28</v>
      </c>
      <c r="K3" s="120" t="s">
        <v>13</v>
      </c>
      <c r="L3" s="112" t="s">
        <v>29</v>
      </c>
      <c r="M3" s="41"/>
      <c r="N3" s="41"/>
      <c r="O3" s="110" t="s">
        <v>51</v>
      </c>
      <c r="P3" s="110" t="s">
        <v>50</v>
      </c>
      <c r="Q3" s="110" t="s">
        <v>1</v>
      </c>
      <c r="R3" s="120" t="s">
        <v>5</v>
      </c>
      <c r="S3" s="41"/>
      <c r="T3" s="244">
        <f>E10+E11+E12+E13+Q5+Q6+Q7+Q8+Q9+Q10+Q11+Q32+Q33+Q34+Q35+Q36+Q37+Q38+E37+E38+E39+E40</f>
        <v>0</v>
      </c>
      <c r="U3" s="41"/>
      <c r="V3" s="41"/>
      <c r="W3" s="47"/>
      <c r="X3" s="41"/>
    </row>
    <row r="4" spans="1:24" ht="27" thickBot="1" x14ac:dyDescent="0.45">
      <c r="A4" s="41"/>
      <c r="B4" s="41"/>
      <c r="C4" s="300" t="s">
        <v>24</v>
      </c>
      <c r="D4" s="303">
        <v>15</v>
      </c>
      <c r="E4" s="304">
        <v>0</v>
      </c>
      <c r="F4" s="305">
        <f t="shared" ref="F4:F9" si="0">D4*E4</f>
        <v>0</v>
      </c>
      <c r="G4" s="58"/>
      <c r="H4" s="58"/>
      <c r="I4" s="333" t="s">
        <v>24</v>
      </c>
      <c r="J4" s="303">
        <v>15</v>
      </c>
      <c r="K4" s="304">
        <v>0</v>
      </c>
      <c r="L4" s="305">
        <f t="shared" ref="L4:L9" si="1">J4*K4</f>
        <v>0</v>
      </c>
      <c r="M4" s="41"/>
      <c r="N4" s="41"/>
      <c r="O4" s="321">
        <v>0</v>
      </c>
      <c r="P4" s="321">
        <v>0</v>
      </c>
      <c r="Q4" s="322">
        <v>0</v>
      </c>
      <c r="R4" s="321">
        <f>O4+P4+Q4</f>
        <v>0</v>
      </c>
      <c r="S4" s="41"/>
      <c r="T4" s="176"/>
      <c r="U4" s="176"/>
      <c r="V4" s="41"/>
      <c r="W4" s="47"/>
      <c r="X4" s="41"/>
    </row>
    <row r="5" spans="1:24" x14ac:dyDescent="0.4">
      <c r="A5" s="41"/>
      <c r="B5" s="41"/>
      <c r="C5" s="119" t="s">
        <v>26</v>
      </c>
      <c r="D5" s="101">
        <v>3</v>
      </c>
      <c r="E5" s="102">
        <v>0</v>
      </c>
      <c r="F5" s="100">
        <f t="shared" si="0"/>
        <v>0</v>
      </c>
      <c r="G5" s="58"/>
      <c r="H5" s="58"/>
      <c r="I5" s="334" t="s">
        <v>26</v>
      </c>
      <c r="J5" s="101">
        <v>3</v>
      </c>
      <c r="K5" s="102">
        <v>0</v>
      </c>
      <c r="L5" s="100">
        <f t="shared" si="1"/>
        <v>0</v>
      </c>
      <c r="M5" s="41"/>
      <c r="N5" s="41"/>
      <c r="O5" s="614" t="s">
        <v>59</v>
      </c>
      <c r="P5" s="615"/>
      <c r="Q5" s="636">
        <v>0</v>
      </c>
      <c r="R5" s="604"/>
      <c r="S5" s="41"/>
      <c r="T5" s="243" t="s">
        <v>90</v>
      </c>
      <c r="U5" s="175"/>
      <c r="V5" s="41"/>
      <c r="W5" s="47"/>
      <c r="X5" s="41"/>
    </row>
    <row r="6" spans="1:24" ht="27" thickBot="1" x14ac:dyDescent="0.45">
      <c r="A6" s="41"/>
      <c r="B6" s="41"/>
      <c r="C6" s="201" t="s">
        <v>25</v>
      </c>
      <c r="D6" s="107">
        <v>10</v>
      </c>
      <c r="E6" s="108">
        <v>0</v>
      </c>
      <c r="F6" s="100">
        <f t="shared" si="0"/>
        <v>0</v>
      </c>
      <c r="G6" s="58"/>
      <c r="H6" s="58"/>
      <c r="I6" s="335" t="s">
        <v>25</v>
      </c>
      <c r="J6" s="107">
        <v>10</v>
      </c>
      <c r="K6" s="108">
        <v>0</v>
      </c>
      <c r="L6" s="100">
        <f t="shared" si="1"/>
        <v>0</v>
      </c>
      <c r="M6" s="41"/>
      <c r="N6" s="41"/>
      <c r="O6" s="597" t="s">
        <v>60</v>
      </c>
      <c r="P6" s="598"/>
      <c r="Q6" s="635">
        <v>0</v>
      </c>
      <c r="R6" s="584"/>
      <c r="S6" s="41"/>
      <c r="T6" s="244">
        <f>F76+F77+F105+K105+L91+E79+(E74-D56)</f>
        <v>4040</v>
      </c>
      <c r="U6" s="175"/>
      <c r="V6" s="41"/>
      <c r="W6" s="47"/>
      <c r="X6" s="41"/>
    </row>
    <row r="7" spans="1:24" ht="27" thickBot="1" x14ac:dyDescent="0.45">
      <c r="A7" s="41"/>
      <c r="B7" s="41"/>
      <c r="C7" s="201" t="s">
        <v>75</v>
      </c>
      <c r="D7" s="107">
        <v>5</v>
      </c>
      <c r="E7" s="108">
        <v>0</v>
      </c>
      <c r="F7" s="100">
        <f t="shared" si="0"/>
        <v>0</v>
      </c>
      <c r="G7" s="58"/>
      <c r="H7" s="58"/>
      <c r="I7" s="335" t="s">
        <v>75</v>
      </c>
      <c r="J7" s="107">
        <v>5</v>
      </c>
      <c r="K7" s="108">
        <v>0</v>
      </c>
      <c r="L7" s="100">
        <f t="shared" si="1"/>
        <v>0</v>
      </c>
      <c r="M7" s="41"/>
      <c r="N7" s="41"/>
      <c r="O7" s="597" t="s">
        <v>61</v>
      </c>
      <c r="P7" s="598"/>
      <c r="Q7" s="635">
        <v>0</v>
      </c>
      <c r="R7" s="584"/>
      <c r="S7" s="41"/>
      <c r="T7" s="177"/>
      <c r="U7" s="175"/>
      <c r="V7" s="41"/>
      <c r="W7" s="47"/>
      <c r="X7" s="41"/>
    </row>
    <row r="8" spans="1:24" x14ac:dyDescent="0.4">
      <c r="A8" s="41"/>
      <c r="B8" s="41"/>
      <c r="C8" s="201" t="s">
        <v>76</v>
      </c>
      <c r="D8" s="107">
        <v>15</v>
      </c>
      <c r="E8" s="108">
        <v>0</v>
      </c>
      <c r="F8" s="100">
        <f t="shared" si="0"/>
        <v>0</v>
      </c>
      <c r="G8" s="58"/>
      <c r="H8" s="58"/>
      <c r="I8" s="335" t="s">
        <v>76</v>
      </c>
      <c r="J8" s="107">
        <v>15</v>
      </c>
      <c r="K8" s="108">
        <v>0</v>
      </c>
      <c r="L8" s="100">
        <f t="shared" si="1"/>
        <v>0</v>
      </c>
      <c r="M8" s="41"/>
      <c r="N8" s="41"/>
      <c r="O8" s="597" t="s">
        <v>1</v>
      </c>
      <c r="P8" s="598"/>
      <c r="Q8" s="635">
        <v>0</v>
      </c>
      <c r="R8" s="584"/>
      <c r="S8" s="41"/>
      <c r="T8" s="243" t="s">
        <v>91</v>
      </c>
      <c r="U8" s="175"/>
      <c r="V8" s="41"/>
      <c r="W8" s="47"/>
      <c r="X8" s="41"/>
    </row>
    <row r="9" spans="1:24" ht="27" thickBot="1" x14ac:dyDescent="0.45">
      <c r="A9" s="41"/>
      <c r="B9" s="41"/>
      <c r="C9" s="171" t="s">
        <v>92</v>
      </c>
      <c r="D9" s="172">
        <v>20</v>
      </c>
      <c r="E9" s="173">
        <v>0</v>
      </c>
      <c r="F9" s="174">
        <f t="shared" si="0"/>
        <v>0</v>
      </c>
      <c r="G9" s="58"/>
      <c r="H9" s="58"/>
      <c r="I9" s="336" t="s">
        <v>92</v>
      </c>
      <c r="J9" s="172">
        <v>20</v>
      </c>
      <c r="K9" s="173">
        <v>0</v>
      </c>
      <c r="L9" s="174">
        <f t="shared" si="1"/>
        <v>0</v>
      </c>
      <c r="M9" s="41"/>
      <c r="N9" s="41"/>
      <c r="O9" s="597" t="s">
        <v>50</v>
      </c>
      <c r="P9" s="598"/>
      <c r="Q9" s="635">
        <v>0</v>
      </c>
      <c r="R9" s="584"/>
      <c r="S9" s="41"/>
      <c r="T9" s="244">
        <f>T3-T6-Q4-Q31-D15-D42</f>
        <v>-4040</v>
      </c>
      <c r="U9" s="175"/>
      <c r="V9" s="41"/>
      <c r="W9" s="47"/>
      <c r="X9" s="41"/>
    </row>
    <row r="10" spans="1:24" x14ac:dyDescent="0.4">
      <c r="A10" s="41"/>
      <c r="B10" s="41"/>
      <c r="C10" s="631" t="s">
        <v>59</v>
      </c>
      <c r="D10" s="632"/>
      <c r="E10" s="633">
        <v>0</v>
      </c>
      <c r="F10" s="634"/>
      <c r="G10" s="58"/>
      <c r="H10" s="58"/>
      <c r="I10" s="631" t="s">
        <v>59</v>
      </c>
      <c r="J10" s="632"/>
      <c r="K10" s="633">
        <v>0</v>
      </c>
      <c r="L10" s="634"/>
      <c r="M10" s="41"/>
      <c r="N10" s="41"/>
      <c r="O10" s="597" t="s">
        <v>94</v>
      </c>
      <c r="P10" s="598"/>
      <c r="Q10" s="635">
        <v>0</v>
      </c>
      <c r="R10" s="584"/>
      <c r="S10" s="41"/>
      <c r="T10" s="177"/>
      <c r="U10" s="175"/>
      <c r="V10" s="41"/>
      <c r="W10" s="47"/>
      <c r="X10" s="41"/>
    </row>
    <row r="11" spans="1:24" ht="27" thickBot="1" x14ac:dyDescent="0.45">
      <c r="A11" s="41"/>
      <c r="B11" s="41"/>
      <c r="C11" s="627" t="s">
        <v>60</v>
      </c>
      <c r="D11" s="628"/>
      <c r="E11" s="583">
        <v>0</v>
      </c>
      <c r="F11" s="584"/>
      <c r="G11" s="58"/>
      <c r="H11" s="58"/>
      <c r="I11" s="627" t="s">
        <v>60</v>
      </c>
      <c r="J11" s="628"/>
      <c r="K11" s="583">
        <v>0</v>
      </c>
      <c r="L11" s="584"/>
      <c r="M11" s="41"/>
      <c r="N11" s="41"/>
      <c r="O11" s="593" t="s">
        <v>95</v>
      </c>
      <c r="P11" s="594"/>
      <c r="Q11" s="629">
        <v>0</v>
      </c>
      <c r="R11" s="630"/>
      <c r="S11" s="41"/>
      <c r="T11" s="177"/>
      <c r="U11" s="175"/>
      <c r="V11" s="41"/>
      <c r="W11" s="47"/>
      <c r="X11" s="41"/>
    </row>
    <row r="12" spans="1:24" ht="27" thickBot="1" x14ac:dyDescent="0.45">
      <c r="A12" s="41"/>
      <c r="B12" s="41"/>
      <c r="C12" s="627" t="s">
        <v>61</v>
      </c>
      <c r="D12" s="628"/>
      <c r="E12" s="583">
        <v>0</v>
      </c>
      <c r="F12" s="584"/>
      <c r="G12" s="58"/>
      <c r="H12" s="58"/>
      <c r="I12" s="627" t="s">
        <v>61</v>
      </c>
      <c r="J12" s="628"/>
      <c r="K12" s="583">
        <v>0</v>
      </c>
      <c r="L12" s="584"/>
      <c r="M12" s="41"/>
      <c r="N12" s="41"/>
      <c r="O12" s="588" t="s">
        <v>63</v>
      </c>
      <c r="P12" s="589"/>
      <c r="Q12" s="590">
        <f>R4-Q5-Q9-Q10-Q11-Q6-Q7-Q8</f>
        <v>0</v>
      </c>
      <c r="R12" s="591"/>
      <c r="S12" s="41"/>
      <c r="T12" s="177"/>
      <c r="U12" s="175"/>
      <c r="V12" s="41"/>
      <c r="W12" s="47"/>
      <c r="X12" s="41"/>
    </row>
    <row r="13" spans="1:24" ht="27" thickBot="1" x14ac:dyDescent="0.45">
      <c r="A13" s="41"/>
      <c r="B13" s="41"/>
      <c r="C13" s="625" t="s">
        <v>1</v>
      </c>
      <c r="D13" s="626"/>
      <c r="E13" s="574">
        <v>0</v>
      </c>
      <c r="F13" s="575"/>
      <c r="G13" s="58"/>
      <c r="H13" s="58"/>
      <c r="I13" s="625" t="s">
        <v>62</v>
      </c>
      <c r="J13" s="626"/>
      <c r="K13" s="574">
        <v>0</v>
      </c>
      <c r="L13" s="575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7"/>
      <c r="X13" s="41"/>
    </row>
    <row r="14" spans="1:24" ht="27" thickBot="1" x14ac:dyDescent="0.45">
      <c r="A14" s="41"/>
      <c r="B14" s="41"/>
      <c r="C14" s="572" t="s">
        <v>83</v>
      </c>
      <c r="D14" s="573"/>
      <c r="E14" s="574">
        <f>E15-E10-E11-E12-E13</f>
        <v>0</v>
      </c>
      <c r="F14" s="575"/>
      <c r="G14" s="58"/>
      <c r="H14" s="58"/>
      <c r="I14" s="572" t="s">
        <v>83</v>
      </c>
      <c r="J14" s="573"/>
      <c r="K14" s="574">
        <f>K15-K10-K11-K12-K13</f>
        <v>0</v>
      </c>
      <c r="L14" s="575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7"/>
      <c r="X14" s="41"/>
    </row>
    <row r="15" spans="1:24" ht="27" customHeight="1" thickBot="1" x14ac:dyDescent="0.45">
      <c r="A15" s="41"/>
      <c r="B15" s="41"/>
      <c r="C15" s="317" t="s">
        <v>43</v>
      </c>
      <c r="D15" s="318">
        <f>E13</f>
        <v>0</v>
      </c>
      <c r="E15" s="621">
        <f>SUM(F4:F9)</f>
        <v>0</v>
      </c>
      <c r="F15" s="622"/>
      <c r="G15" s="58"/>
      <c r="H15" s="58"/>
      <c r="I15" s="317" t="s">
        <v>43</v>
      </c>
      <c r="J15" s="318">
        <v>0</v>
      </c>
      <c r="K15" s="621">
        <f>SUM(L4:L9)</f>
        <v>0</v>
      </c>
      <c r="L15" s="622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7"/>
      <c r="X15" s="41"/>
    </row>
    <row r="16" spans="1:24" hidden="1" x14ac:dyDescent="0.4">
      <c r="A16" s="41"/>
      <c r="B16" s="41"/>
      <c r="C16" s="58"/>
      <c r="D16" s="58"/>
      <c r="E16" s="58"/>
      <c r="F16" s="58"/>
      <c r="G16" s="58"/>
      <c r="H16" s="58"/>
      <c r="I16" s="190"/>
      <c r="J16" s="190"/>
      <c r="K16" s="190"/>
      <c r="L16" s="190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7"/>
      <c r="X16" s="41"/>
    </row>
    <row r="17" spans="1:24" ht="0.95" hidden="1" customHeight="1" x14ac:dyDescent="0.4">
      <c r="A17" s="41"/>
      <c r="B17" s="41"/>
      <c r="C17" s="623" t="s">
        <v>44</v>
      </c>
      <c r="D17" s="624"/>
      <c r="E17" s="624"/>
      <c r="F17" s="624"/>
      <c r="G17" s="188"/>
      <c r="H17" s="188"/>
      <c r="I17" s="612" t="s">
        <v>49</v>
      </c>
      <c r="J17" s="613"/>
      <c r="K17" s="613"/>
      <c r="L17" s="613"/>
      <c r="M17" s="189"/>
      <c r="N17" s="189"/>
      <c r="O17" s="623" t="s">
        <v>69</v>
      </c>
      <c r="P17" s="624"/>
      <c r="Q17" s="624"/>
      <c r="R17" s="624"/>
      <c r="S17" s="41"/>
      <c r="T17" s="41"/>
      <c r="U17" s="41"/>
      <c r="V17" s="41"/>
      <c r="W17" s="47"/>
      <c r="X17" s="41"/>
    </row>
    <row r="18" spans="1:24" hidden="1" x14ac:dyDescent="0.4">
      <c r="A18" s="41"/>
      <c r="B18" s="41"/>
      <c r="C18" s="178" t="s">
        <v>27</v>
      </c>
      <c r="D18" s="178" t="s">
        <v>28</v>
      </c>
      <c r="E18" s="178" t="s">
        <v>13</v>
      </c>
      <c r="F18" s="178" t="s">
        <v>29</v>
      </c>
      <c r="G18" s="188"/>
      <c r="H18" s="188"/>
      <c r="I18" s="191" t="s">
        <v>45</v>
      </c>
      <c r="J18" s="192">
        <v>10</v>
      </c>
      <c r="K18" s="193"/>
      <c r="L18" s="194">
        <f>J18*K18</f>
        <v>0</v>
      </c>
      <c r="M18" s="189"/>
      <c r="N18" s="189"/>
      <c r="O18" s="178" t="s">
        <v>51</v>
      </c>
      <c r="P18" s="178" t="s">
        <v>50</v>
      </c>
      <c r="Q18" s="178" t="s">
        <v>1</v>
      </c>
      <c r="R18" s="178" t="s">
        <v>5</v>
      </c>
      <c r="S18" s="41"/>
      <c r="T18" s="41"/>
      <c r="U18" s="41"/>
      <c r="V18" s="41"/>
      <c r="W18" s="47"/>
      <c r="X18" s="41"/>
    </row>
    <row r="19" spans="1:24" hidden="1" x14ac:dyDescent="0.4">
      <c r="A19" s="41"/>
      <c r="B19" s="41"/>
      <c r="C19" s="179" t="s">
        <v>24</v>
      </c>
      <c r="D19" s="180">
        <v>15</v>
      </c>
      <c r="E19" s="181"/>
      <c r="F19" s="182">
        <f>D19*E19</f>
        <v>0</v>
      </c>
      <c r="G19" s="188"/>
      <c r="H19" s="188"/>
      <c r="I19" s="195" t="s">
        <v>46</v>
      </c>
      <c r="J19" s="192">
        <v>15</v>
      </c>
      <c r="K19" s="193"/>
      <c r="L19" s="194">
        <f>J19*K19</f>
        <v>0</v>
      </c>
      <c r="M19" s="189"/>
      <c r="N19" s="189"/>
      <c r="O19" s="186">
        <v>0</v>
      </c>
      <c r="P19" s="186">
        <v>0</v>
      </c>
      <c r="Q19" s="187">
        <v>0</v>
      </c>
      <c r="R19" s="186">
        <f>O19+P19+Q19</f>
        <v>0</v>
      </c>
      <c r="S19" s="41"/>
      <c r="T19" s="41"/>
      <c r="U19" s="41"/>
      <c r="V19" s="41"/>
      <c r="W19" s="47"/>
      <c r="X19" s="41"/>
    </row>
    <row r="20" spans="1:24" hidden="1" x14ac:dyDescent="0.4">
      <c r="A20" s="41"/>
      <c r="B20" s="41"/>
      <c r="C20" s="183" t="s">
        <v>25</v>
      </c>
      <c r="D20" s="180">
        <v>10</v>
      </c>
      <c r="E20" s="181"/>
      <c r="F20" s="182">
        <f>D20*E20</f>
        <v>0</v>
      </c>
      <c r="G20" s="188"/>
      <c r="H20" s="188"/>
      <c r="I20" s="191" t="s">
        <v>47</v>
      </c>
      <c r="J20" s="192">
        <v>20</v>
      </c>
      <c r="K20" s="193"/>
      <c r="L20" s="194">
        <f>J20*K20</f>
        <v>0</v>
      </c>
      <c r="M20" s="189"/>
      <c r="N20" s="189"/>
      <c r="O20" s="618" t="s">
        <v>59</v>
      </c>
      <c r="P20" s="619"/>
      <c r="Q20" s="620">
        <v>0</v>
      </c>
      <c r="R20" s="620"/>
      <c r="S20" s="41"/>
      <c r="T20" s="41"/>
      <c r="U20" s="41"/>
      <c r="V20" s="41"/>
      <c r="W20" s="47"/>
      <c r="X20" s="41"/>
    </row>
    <row r="21" spans="1:24" hidden="1" x14ac:dyDescent="0.4">
      <c r="A21" s="41"/>
      <c r="B21" s="41"/>
      <c r="C21" s="179" t="s">
        <v>26</v>
      </c>
      <c r="D21" s="180">
        <v>3</v>
      </c>
      <c r="E21" s="181"/>
      <c r="F21" s="182">
        <f>D21*E21</f>
        <v>0</v>
      </c>
      <c r="G21" s="188"/>
      <c r="H21" s="188"/>
      <c r="I21" s="191" t="s">
        <v>48</v>
      </c>
      <c r="J21" s="192">
        <v>25</v>
      </c>
      <c r="K21" s="193"/>
      <c r="L21" s="194">
        <f>J21*K21</f>
        <v>0</v>
      </c>
      <c r="M21" s="189"/>
      <c r="N21" s="189"/>
      <c r="O21" s="618" t="s">
        <v>60</v>
      </c>
      <c r="P21" s="619"/>
      <c r="Q21" s="620">
        <v>0</v>
      </c>
      <c r="R21" s="620"/>
      <c r="S21" s="41"/>
      <c r="T21" s="41"/>
      <c r="U21" s="41"/>
      <c r="V21" s="41"/>
      <c r="W21" s="47"/>
      <c r="X21" s="41"/>
    </row>
    <row r="22" spans="1:24" hidden="1" x14ac:dyDescent="0.4">
      <c r="A22" s="41"/>
      <c r="B22" s="41"/>
      <c r="C22" s="618" t="s">
        <v>59</v>
      </c>
      <c r="D22" s="619"/>
      <c r="E22" s="620">
        <v>0</v>
      </c>
      <c r="F22" s="620"/>
      <c r="G22" s="188"/>
      <c r="H22" s="188"/>
      <c r="I22" s="585" t="s">
        <v>59</v>
      </c>
      <c r="J22" s="586"/>
      <c r="K22" s="587">
        <v>0</v>
      </c>
      <c r="L22" s="587"/>
      <c r="M22" s="189"/>
      <c r="N22" s="189"/>
      <c r="O22" s="618" t="s">
        <v>61</v>
      </c>
      <c r="P22" s="619"/>
      <c r="Q22" s="620">
        <v>0</v>
      </c>
      <c r="R22" s="620"/>
      <c r="S22" s="41"/>
      <c r="T22" s="41"/>
      <c r="U22" s="41"/>
      <c r="V22" s="41"/>
      <c r="W22" s="47"/>
      <c r="X22" s="41"/>
    </row>
    <row r="23" spans="1:24" hidden="1" x14ac:dyDescent="0.4">
      <c r="A23" s="41"/>
      <c r="B23" s="41"/>
      <c r="C23" s="618" t="s">
        <v>60</v>
      </c>
      <c r="D23" s="619"/>
      <c r="E23" s="620">
        <v>0</v>
      </c>
      <c r="F23" s="620"/>
      <c r="G23" s="188"/>
      <c r="H23" s="188"/>
      <c r="I23" s="585" t="s">
        <v>60</v>
      </c>
      <c r="J23" s="586"/>
      <c r="K23" s="587">
        <v>0</v>
      </c>
      <c r="L23" s="587"/>
      <c r="M23" s="189"/>
      <c r="N23" s="189"/>
      <c r="O23" s="618" t="s">
        <v>62</v>
      </c>
      <c r="P23" s="619"/>
      <c r="Q23" s="620">
        <v>0</v>
      </c>
      <c r="R23" s="620"/>
      <c r="S23" s="41"/>
      <c r="T23" s="41"/>
      <c r="U23" s="41"/>
      <c r="V23" s="41"/>
      <c r="W23" s="47"/>
      <c r="X23" s="41"/>
    </row>
    <row r="24" spans="1:24" hidden="1" x14ac:dyDescent="0.4">
      <c r="A24" s="41"/>
      <c r="B24" s="41"/>
      <c r="C24" s="618" t="s">
        <v>61</v>
      </c>
      <c r="D24" s="619"/>
      <c r="E24" s="620">
        <v>0</v>
      </c>
      <c r="F24" s="620"/>
      <c r="G24" s="188"/>
      <c r="H24" s="188"/>
      <c r="I24" s="585" t="s">
        <v>61</v>
      </c>
      <c r="J24" s="586"/>
      <c r="K24" s="587">
        <v>0</v>
      </c>
      <c r="L24" s="587"/>
      <c r="M24" s="189"/>
      <c r="N24" s="189"/>
      <c r="O24" s="618" t="s">
        <v>63</v>
      </c>
      <c r="P24" s="619"/>
      <c r="Q24" s="620">
        <f>R19-Q20-Q21-Q22-Q23</f>
        <v>0</v>
      </c>
      <c r="R24" s="620"/>
      <c r="S24" s="41"/>
      <c r="T24" s="41"/>
      <c r="U24" s="41"/>
      <c r="V24" s="41"/>
      <c r="W24" s="47"/>
      <c r="X24" s="41"/>
    </row>
    <row r="25" spans="1:24" hidden="1" x14ac:dyDescent="0.4">
      <c r="A25" s="41"/>
      <c r="B25" s="41"/>
      <c r="C25" s="618" t="s">
        <v>62</v>
      </c>
      <c r="D25" s="619"/>
      <c r="E25" s="620">
        <v>0</v>
      </c>
      <c r="F25" s="620"/>
      <c r="G25" s="188"/>
      <c r="H25" s="188"/>
      <c r="I25" s="585" t="s">
        <v>62</v>
      </c>
      <c r="J25" s="586"/>
      <c r="K25" s="587">
        <v>0</v>
      </c>
      <c r="L25" s="587"/>
      <c r="M25" s="189"/>
      <c r="N25" s="189"/>
      <c r="O25" s="185"/>
      <c r="P25" s="185"/>
      <c r="Q25" s="185"/>
      <c r="R25" s="185"/>
      <c r="S25" s="41"/>
      <c r="T25" s="41"/>
      <c r="U25" s="41"/>
      <c r="V25" s="41"/>
      <c r="W25" s="47"/>
      <c r="X25" s="41"/>
    </row>
    <row r="26" spans="1:24" hidden="1" x14ac:dyDescent="0.4">
      <c r="A26" s="41"/>
      <c r="B26" s="41"/>
      <c r="C26" s="618" t="s">
        <v>63</v>
      </c>
      <c r="D26" s="619"/>
      <c r="E26" s="620">
        <f>E27-E25-E24-E23-E22</f>
        <v>0</v>
      </c>
      <c r="F26" s="620"/>
      <c r="G26" s="188"/>
      <c r="H26" s="188"/>
      <c r="I26" s="585" t="s">
        <v>63</v>
      </c>
      <c r="J26" s="586"/>
      <c r="K26" s="587">
        <f>K27-K25-K24-K23-K22</f>
        <v>0</v>
      </c>
      <c r="L26" s="587"/>
      <c r="M26" s="189"/>
      <c r="N26" s="189"/>
      <c r="O26" s="185"/>
      <c r="P26" s="185"/>
      <c r="Q26" s="185"/>
      <c r="R26" s="185"/>
      <c r="S26" s="41"/>
      <c r="T26" s="41"/>
      <c r="U26" s="41"/>
      <c r="V26" s="41"/>
      <c r="W26" s="47"/>
      <c r="X26" s="41"/>
    </row>
    <row r="27" spans="1:24" ht="31.5" hidden="1" x14ac:dyDescent="0.4">
      <c r="A27" s="41"/>
      <c r="B27" s="41"/>
      <c r="C27" s="179" t="s">
        <v>43</v>
      </c>
      <c r="D27" s="184">
        <v>0</v>
      </c>
      <c r="E27" s="605">
        <f>SUM(F19:F21)</f>
        <v>0</v>
      </c>
      <c r="F27" s="606"/>
      <c r="G27" s="188"/>
      <c r="H27" s="188"/>
      <c r="I27" s="191" t="s">
        <v>43</v>
      </c>
      <c r="J27" s="196">
        <v>0</v>
      </c>
      <c r="K27" s="607">
        <f>L18+L19+L20+L21</f>
        <v>0</v>
      </c>
      <c r="L27" s="608"/>
      <c r="M27" s="189"/>
      <c r="N27" s="189"/>
      <c r="O27" s="185"/>
      <c r="P27" s="185"/>
      <c r="Q27" s="185"/>
      <c r="R27" s="185"/>
      <c r="S27" s="41"/>
      <c r="T27" s="41"/>
      <c r="U27" s="41"/>
      <c r="V27" s="41"/>
      <c r="W27" s="47"/>
      <c r="X27" s="41"/>
    </row>
    <row r="28" spans="1:24" ht="27" thickBot="1" x14ac:dyDescent="0.45">
      <c r="A28" s="41"/>
      <c r="B28" s="41"/>
      <c r="C28" s="58"/>
      <c r="D28" s="58"/>
      <c r="E28" s="58"/>
      <c r="F28" s="58"/>
      <c r="G28" s="58"/>
      <c r="H28" s="58"/>
      <c r="I28" s="190"/>
      <c r="J28" s="190"/>
      <c r="K28" s="190"/>
      <c r="L28" s="190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7"/>
      <c r="X28" s="41"/>
    </row>
    <row r="29" spans="1:24" ht="34.5" thickBot="1" x14ac:dyDescent="0.45">
      <c r="A29" s="41"/>
      <c r="B29" s="41"/>
      <c r="C29" s="609" t="s">
        <v>149</v>
      </c>
      <c r="D29" s="610"/>
      <c r="E29" s="610"/>
      <c r="F29" s="611"/>
      <c r="G29" s="58"/>
      <c r="H29" s="58"/>
      <c r="I29" s="612" t="s">
        <v>71</v>
      </c>
      <c r="J29" s="613"/>
      <c r="K29" s="613"/>
      <c r="L29" s="613"/>
      <c r="M29" s="41"/>
      <c r="N29" s="41"/>
      <c r="O29" s="609" t="s">
        <v>129</v>
      </c>
      <c r="P29" s="610"/>
      <c r="Q29" s="610"/>
      <c r="R29" s="611"/>
      <c r="S29" s="41"/>
      <c r="T29" s="41"/>
      <c r="U29" s="41"/>
      <c r="V29" s="41"/>
      <c r="W29" s="47"/>
      <c r="X29" s="41"/>
    </row>
    <row r="30" spans="1:24" ht="27" thickBot="1" x14ac:dyDescent="0.45">
      <c r="A30" s="41"/>
      <c r="B30" s="41"/>
      <c r="C30" s="110" t="s">
        <v>27</v>
      </c>
      <c r="D30" s="120" t="s">
        <v>28</v>
      </c>
      <c r="E30" s="120" t="s">
        <v>13</v>
      </c>
      <c r="F30" s="112" t="s">
        <v>29</v>
      </c>
      <c r="G30" s="58"/>
      <c r="H30" s="58"/>
      <c r="I30" s="197" t="s">
        <v>51</v>
      </c>
      <c r="J30" s="197" t="s">
        <v>50</v>
      </c>
      <c r="K30" s="197" t="s">
        <v>1</v>
      </c>
      <c r="L30" s="197" t="s">
        <v>5</v>
      </c>
      <c r="M30" s="41"/>
      <c r="N30" s="41"/>
      <c r="O30" s="227" t="s">
        <v>51</v>
      </c>
      <c r="P30" s="227" t="s">
        <v>50</v>
      </c>
      <c r="Q30" s="227" t="s">
        <v>1</v>
      </c>
      <c r="R30" s="228" t="s">
        <v>5</v>
      </c>
      <c r="S30" s="41"/>
      <c r="T30" s="41"/>
      <c r="U30" s="41"/>
      <c r="V30" s="41"/>
      <c r="W30" s="47"/>
      <c r="X30" s="41"/>
    </row>
    <row r="31" spans="1:24" ht="27" thickBot="1" x14ac:dyDescent="0.45">
      <c r="A31" s="41"/>
      <c r="B31" s="41"/>
      <c r="C31" s="169" t="s">
        <v>24</v>
      </c>
      <c r="D31" s="170">
        <v>20</v>
      </c>
      <c r="E31" s="113">
        <v>0</v>
      </c>
      <c r="F31" s="114">
        <f t="shared" ref="F31:F36" si="2">D31*E31</f>
        <v>0</v>
      </c>
      <c r="G31" s="58"/>
      <c r="H31" s="58"/>
      <c r="I31" s="198"/>
      <c r="J31" s="198"/>
      <c r="K31" s="199"/>
      <c r="L31" s="198">
        <f>I31+J31+K31</f>
        <v>0</v>
      </c>
      <c r="M31" s="41"/>
      <c r="N31" s="41"/>
      <c r="O31" s="323">
        <v>0</v>
      </c>
      <c r="P31" s="323">
        <v>0</v>
      </c>
      <c r="Q31" s="324">
        <v>0</v>
      </c>
      <c r="R31" s="323">
        <f>O31+P31+Q31</f>
        <v>0</v>
      </c>
      <c r="S31" s="41"/>
      <c r="T31" s="41"/>
      <c r="U31" s="41"/>
      <c r="V31" s="41"/>
      <c r="W31" s="47"/>
      <c r="X31" s="41"/>
    </row>
    <row r="32" spans="1:24" x14ac:dyDescent="0.4">
      <c r="A32" s="41"/>
      <c r="B32" s="41"/>
      <c r="C32" s="119" t="s">
        <v>26</v>
      </c>
      <c r="D32" s="101">
        <v>3</v>
      </c>
      <c r="E32" s="113">
        <v>0</v>
      </c>
      <c r="F32" s="114">
        <f t="shared" si="2"/>
        <v>0</v>
      </c>
      <c r="G32" s="58"/>
      <c r="H32" s="58"/>
      <c r="I32" s="198"/>
      <c r="J32" s="198"/>
      <c r="K32" s="199"/>
      <c r="L32" s="198"/>
      <c r="M32" s="41"/>
      <c r="N32" s="41"/>
      <c r="O32" s="614" t="s">
        <v>59</v>
      </c>
      <c r="P32" s="615"/>
      <c r="Q32" s="616">
        <v>0</v>
      </c>
      <c r="R32" s="617"/>
      <c r="S32" s="41"/>
      <c r="T32" s="41"/>
      <c r="U32" s="41"/>
      <c r="V32" s="41"/>
      <c r="W32" s="47"/>
      <c r="X32" s="41"/>
    </row>
    <row r="33" spans="1:25" x14ac:dyDescent="0.4">
      <c r="A33" s="41"/>
      <c r="B33" s="41"/>
      <c r="C33" s="201" t="s">
        <v>108</v>
      </c>
      <c r="D33" s="107">
        <v>10</v>
      </c>
      <c r="E33" s="113">
        <v>0</v>
      </c>
      <c r="F33" s="114">
        <f t="shared" si="2"/>
        <v>0</v>
      </c>
      <c r="G33" s="58"/>
      <c r="H33" s="58"/>
      <c r="I33" s="198"/>
      <c r="J33" s="198"/>
      <c r="K33" s="199"/>
      <c r="L33" s="198"/>
      <c r="M33" s="41"/>
      <c r="N33" s="41"/>
      <c r="O33" s="597" t="s">
        <v>60</v>
      </c>
      <c r="P33" s="598"/>
      <c r="Q33" s="599">
        <v>0</v>
      </c>
      <c r="R33" s="600"/>
      <c r="S33" s="41"/>
      <c r="T33" s="41"/>
      <c r="U33" s="41"/>
      <c r="V33" s="41"/>
      <c r="W33" s="47"/>
      <c r="X33" s="41"/>
    </row>
    <row r="34" spans="1:25" x14ac:dyDescent="0.4">
      <c r="A34" s="41"/>
      <c r="B34" s="41"/>
      <c r="C34" s="201" t="s">
        <v>75</v>
      </c>
      <c r="D34" s="107">
        <v>5</v>
      </c>
      <c r="E34" s="113">
        <v>0</v>
      </c>
      <c r="F34" s="114">
        <f t="shared" si="2"/>
        <v>0</v>
      </c>
      <c r="G34" s="58"/>
      <c r="H34" s="58"/>
      <c r="I34" s="198"/>
      <c r="J34" s="198"/>
      <c r="K34" s="199"/>
      <c r="L34" s="198"/>
      <c r="M34" s="41"/>
      <c r="N34" s="41"/>
      <c r="O34" s="597" t="s">
        <v>61</v>
      </c>
      <c r="P34" s="598"/>
      <c r="Q34" s="599">
        <v>0</v>
      </c>
      <c r="R34" s="600"/>
      <c r="S34" s="41"/>
      <c r="T34" s="41"/>
      <c r="U34" s="41"/>
      <c r="V34" s="41"/>
      <c r="W34" s="47"/>
      <c r="X34" s="41"/>
    </row>
    <row r="35" spans="1:25" x14ac:dyDescent="0.4">
      <c r="A35" s="41"/>
      <c r="B35" s="41"/>
      <c r="C35" s="201" t="s">
        <v>76</v>
      </c>
      <c r="D35" s="107">
        <v>15</v>
      </c>
      <c r="E35" s="102">
        <v>0</v>
      </c>
      <c r="F35" s="100">
        <f t="shared" si="2"/>
        <v>0</v>
      </c>
      <c r="G35" s="58"/>
      <c r="H35" s="58"/>
      <c r="I35" s="585" t="s">
        <v>59</v>
      </c>
      <c r="J35" s="586"/>
      <c r="K35" s="587">
        <v>0</v>
      </c>
      <c r="L35" s="587"/>
      <c r="M35" s="41"/>
      <c r="N35" s="41"/>
      <c r="O35" s="597" t="s">
        <v>62</v>
      </c>
      <c r="P35" s="598"/>
      <c r="Q35" s="599">
        <v>0</v>
      </c>
      <c r="R35" s="600"/>
      <c r="S35" s="41"/>
      <c r="T35" s="41"/>
      <c r="U35" s="41"/>
      <c r="V35" s="41"/>
      <c r="W35" s="47"/>
      <c r="X35" s="41"/>
    </row>
    <row r="36" spans="1:25" ht="27" thickBot="1" x14ac:dyDescent="0.45">
      <c r="A36" s="41"/>
      <c r="B36" s="41"/>
      <c r="C36" s="171" t="s">
        <v>120</v>
      </c>
      <c r="D36" s="172">
        <v>30</v>
      </c>
      <c r="E36" s="102">
        <v>0</v>
      </c>
      <c r="F36" s="109">
        <f t="shared" si="2"/>
        <v>0</v>
      </c>
      <c r="G36" s="58"/>
      <c r="H36" s="58"/>
      <c r="I36" s="585" t="s">
        <v>60</v>
      </c>
      <c r="J36" s="586"/>
      <c r="K36" s="587">
        <v>0</v>
      </c>
      <c r="L36" s="587"/>
      <c r="M36" s="41"/>
      <c r="N36" s="41"/>
      <c r="O36" s="597" t="s">
        <v>93</v>
      </c>
      <c r="P36" s="598"/>
      <c r="Q36" s="599">
        <v>0</v>
      </c>
      <c r="R36" s="600"/>
      <c r="S36" s="41"/>
      <c r="T36" s="41"/>
      <c r="U36" s="41"/>
      <c r="V36" s="41"/>
      <c r="W36" s="47"/>
      <c r="X36" s="41"/>
    </row>
    <row r="37" spans="1:25" x14ac:dyDescent="0.4">
      <c r="A37" s="41"/>
      <c r="B37" s="41"/>
      <c r="C37" s="601" t="s">
        <v>59</v>
      </c>
      <c r="D37" s="602"/>
      <c r="E37" s="603">
        <v>0</v>
      </c>
      <c r="F37" s="604"/>
      <c r="G37" s="58"/>
      <c r="H37" s="58"/>
      <c r="I37" s="585" t="s">
        <v>61</v>
      </c>
      <c r="J37" s="586"/>
      <c r="K37" s="587">
        <v>0</v>
      </c>
      <c r="L37" s="587"/>
      <c r="M37" s="41"/>
      <c r="N37" s="41"/>
      <c r="O37" s="597" t="s">
        <v>94</v>
      </c>
      <c r="P37" s="598"/>
      <c r="Q37" s="599">
        <v>0</v>
      </c>
      <c r="R37" s="600"/>
      <c r="S37" s="41"/>
      <c r="T37" s="41"/>
      <c r="U37" s="41"/>
      <c r="V37" s="41"/>
      <c r="W37" s="47"/>
      <c r="X37" s="41"/>
    </row>
    <row r="38" spans="1:25" ht="27" thickBot="1" x14ac:dyDescent="0.45">
      <c r="A38" s="41"/>
      <c r="B38" s="41"/>
      <c r="C38" s="592" t="s">
        <v>60</v>
      </c>
      <c r="D38" s="582"/>
      <c r="E38" s="583">
        <v>0</v>
      </c>
      <c r="F38" s="584"/>
      <c r="G38" s="58"/>
      <c r="H38" s="58"/>
      <c r="I38" s="585" t="s">
        <v>62</v>
      </c>
      <c r="J38" s="586"/>
      <c r="K38" s="587">
        <v>0</v>
      </c>
      <c r="L38" s="587"/>
      <c r="M38" s="41"/>
      <c r="N38" s="41"/>
      <c r="O38" s="593" t="s">
        <v>95</v>
      </c>
      <c r="P38" s="594"/>
      <c r="Q38" s="595">
        <v>0</v>
      </c>
      <c r="R38" s="596"/>
      <c r="S38" s="41"/>
      <c r="T38" s="41"/>
      <c r="U38" s="41"/>
      <c r="V38" s="41"/>
      <c r="W38" s="47"/>
      <c r="X38" s="41"/>
    </row>
    <row r="39" spans="1:25" ht="27" thickBot="1" x14ac:dyDescent="0.45">
      <c r="A39" s="41"/>
      <c r="B39" s="41"/>
      <c r="C39" s="581" t="s">
        <v>1</v>
      </c>
      <c r="D39" s="582"/>
      <c r="E39" s="583">
        <v>0</v>
      </c>
      <c r="F39" s="584"/>
      <c r="G39" s="58"/>
      <c r="H39" s="58"/>
      <c r="I39" s="585" t="s">
        <v>63</v>
      </c>
      <c r="J39" s="586"/>
      <c r="K39" s="587">
        <f>L31-K35-K36-K37-K38</f>
        <v>0</v>
      </c>
      <c r="L39" s="587"/>
      <c r="M39" s="41"/>
      <c r="N39" s="41"/>
      <c r="O39" s="588" t="s">
        <v>63</v>
      </c>
      <c r="P39" s="589"/>
      <c r="Q39" s="590">
        <f>R31-Q32-Q33-Q34-Q35-Q36-Q37-Q38</f>
        <v>0</v>
      </c>
      <c r="R39" s="591"/>
      <c r="S39" s="41"/>
      <c r="T39" s="41"/>
      <c r="U39" s="41"/>
      <c r="V39" s="41"/>
      <c r="W39" s="47"/>
      <c r="X39" s="41"/>
    </row>
    <row r="40" spans="1:25" ht="27" thickBot="1" x14ac:dyDescent="0.45">
      <c r="A40" s="41"/>
      <c r="B40" s="41"/>
      <c r="C40" s="572" t="s">
        <v>130</v>
      </c>
      <c r="D40" s="573"/>
      <c r="E40" s="574">
        <v>0</v>
      </c>
      <c r="F40" s="575"/>
      <c r="G40" s="58"/>
      <c r="H40" s="58"/>
      <c r="I40" s="58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7"/>
      <c r="X40" s="41"/>
    </row>
    <row r="41" spans="1:25" ht="27" thickBot="1" x14ac:dyDescent="0.45">
      <c r="A41" s="41"/>
      <c r="B41" s="41"/>
      <c r="C41" s="572" t="s">
        <v>63</v>
      </c>
      <c r="D41" s="573"/>
      <c r="E41" s="574">
        <f>E42-E40-E39-E38-E37</f>
        <v>0</v>
      </c>
      <c r="F41" s="575"/>
      <c r="G41" s="58"/>
      <c r="H41" s="58"/>
      <c r="I41" s="58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7"/>
      <c r="X41" s="41"/>
    </row>
    <row r="42" spans="1:25" ht="32.25" thickBot="1" x14ac:dyDescent="0.45">
      <c r="A42" s="41"/>
      <c r="B42" s="41"/>
      <c r="C42" s="319" t="s">
        <v>43</v>
      </c>
      <c r="D42" s="320">
        <f>E39</f>
        <v>0</v>
      </c>
      <c r="E42" s="576">
        <f>SUM(F31:F36)</f>
        <v>0</v>
      </c>
      <c r="F42" s="577"/>
      <c r="G42" s="58"/>
      <c r="H42" s="58"/>
      <c r="I42" s="58"/>
      <c r="J42" s="58"/>
      <c r="K42" s="58"/>
      <c r="L42" s="58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7"/>
      <c r="X42" s="41"/>
    </row>
    <row r="43" spans="1:25" ht="27" thickBot="1" x14ac:dyDescent="0.45">
      <c r="A43" s="41"/>
      <c r="B43" s="4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7"/>
      <c r="X43" s="41"/>
    </row>
    <row r="44" spans="1:25" s="2" customFormat="1" ht="37.35" customHeight="1" thickBot="1" x14ac:dyDescent="0.25">
      <c r="A44" s="128"/>
      <c r="B44" s="128"/>
      <c r="C44" s="578" t="s">
        <v>0</v>
      </c>
      <c r="D44" s="579"/>
      <c r="E44" s="579"/>
      <c r="F44" s="580"/>
      <c r="G44" s="135"/>
      <c r="H44" s="135"/>
      <c r="I44" s="125" t="s">
        <v>0</v>
      </c>
      <c r="J44" s="564">
        <f>D57</f>
        <v>0</v>
      </c>
      <c r="K44" s="565"/>
      <c r="L44" s="200" t="s">
        <v>21</v>
      </c>
      <c r="M44" s="128"/>
      <c r="N44" s="128"/>
      <c r="O44" s="435" t="s">
        <v>32</v>
      </c>
      <c r="P44" s="436"/>
      <c r="Q44" s="436"/>
      <c r="R44" s="437"/>
      <c r="S44" s="25"/>
      <c r="T44" s="26"/>
      <c r="U44" s="20"/>
      <c r="V44" s="27"/>
      <c r="W44" s="27"/>
      <c r="X44" s="28"/>
      <c r="Y44" s="1"/>
    </row>
    <row r="45" spans="1:25" ht="29.25" thickBot="1" x14ac:dyDescent="0.5">
      <c r="A45" s="41"/>
      <c r="B45" s="41"/>
      <c r="C45" s="237" t="s">
        <v>117</v>
      </c>
      <c r="D45" s="566">
        <f>E15</f>
        <v>0</v>
      </c>
      <c r="E45" s="567"/>
      <c r="F45" s="568"/>
      <c r="G45" s="136"/>
      <c r="H45" s="58"/>
      <c r="I45" s="121" t="s">
        <v>2</v>
      </c>
      <c r="J45" s="569">
        <f>L91</f>
        <v>0</v>
      </c>
      <c r="K45" s="560"/>
      <c r="L45" s="314" t="s">
        <v>105</v>
      </c>
      <c r="M45" s="41"/>
      <c r="N45" s="41"/>
      <c r="O45" s="251" t="s">
        <v>146</v>
      </c>
      <c r="P45" s="202">
        <v>14</v>
      </c>
      <c r="Q45" s="203">
        <v>0</v>
      </c>
      <c r="R45" s="256">
        <f t="shared" ref="R45:R68" si="3">P45*Q45</f>
        <v>0</v>
      </c>
      <c r="S45" s="21"/>
      <c r="T45" s="29"/>
      <c r="U45" s="22"/>
      <c r="V45" s="30"/>
      <c r="W45" s="11"/>
      <c r="X45" s="31"/>
      <c r="Y45" s="5"/>
    </row>
    <row r="46" spans="1:25" ht="29.25" thickBot="1" x14ac:dyDescent="0.5">
      <c r="A46" s="41"/>
      <c r="B46" s="41"/>
      <c r="C46" s="242"/>
      <c r="D46" s="546">
        <f>E27</f>
        <v>0</v>
      </c>
      <c r="E46" s="547"/>
      <c r="F46" s="548"/>
      <c r="G46" s="136"/>
      <c r="H46" s="58"/>
      <c r="I46" s="122" t="s">
        <v>3</v>
      </c>
      <c r="J46" s="570">
        <f>E79</f>
        <v>0</v>
      </c>
      <c r="K46" s="571"/>
      <c r="L46" s="235">
        <f>J47</f>
        <v>0</v>
      </c>
      <c r="M46" s="41"/>
      <c r="N46" s="41"/>
      <c r="O46" s="252" t="s">
        <v>123</v>
      </c>
      <c r="P46" s="256">
        <v>38</v>
      </c>
      <c r="Q46" s="204">
        <v>0</v>
      </c>
      <c r="R46" s="256">
        <f t="shared" si="3"/>
        <v>0</v>
      </c>
      <c r="S46" s="21"/>
      <c r="T46" s="29"/>
      <c r="U46" s="22"/>
      <c r="V46" s="30"/>
      <c r="W46" s="11"/>
      <c r="X46" s="31"/>
      <c r="Y46" s="5"/>
    </row>
    <row r="47" spans="1:25" ht="29.25" customHeight="1" thickBot="1" x14ac:dyDescent="0.5">
      <c r="A47" s="41"/>
      <c r="B47" s="41"/>
      <c r="C47" s="241" t="s">
        <v>118</v>
      </c>
      <c r="D47" s="551">
        <f>E42</f>
        <v>0</v>
      </c>
      <c r="E47" s="552"/>
      <c r="F47" s="553"/>
      <c r="G47" s="136"/>
      <c r="H47" s="58"/>
      <c r="I47" s="122" t="s">
        <v>64</v>
      </c>
      <c r="J47" s="554">
        <f>E74</f>
        <v>0</v>
      </c>
      <c r="K47" s="555"/>
      <c r="L47" s="315" t="s">
        <v>22</v>
      </c>
      <c r="M47" s="41"/>
      <c r="N47" s="41"/>
      <c r="O47" s="252" t="s">
        <v>147</v>
      </c>
      <c r="P47" s="256">
        <v>98</v>
      </c>
      <c r="Q47" s="204">
        <v>0</v>
      </c>
      <c r="R47" s="256">
        <f t="shared" si="3"/>
        <v>0</v>
      </c>
      <c r="S47" s="21"/>
      <c r="T47" s="29"/>
      <c r="U47" s="22"/>
      <c r="V47" s="30"/>
      <c r="W47" s="11"/>
      <c r="X47" s="31"/>
      <c r="Y47" s="5"/>
    </row>
    <row r="48" spans="1:25" ht="30" customHeight="1" thickBot="1" x14ac:dyDescent="0.5">
      <c r="A48" s="41"/>
      <c r="B48" s="41"/>
      <c r="C48" s="241" t="s">
        <v>128</v>
      </c>
      <c r="D48" s="556">
        <f>K15</f>
        <v>0</v>
      </c>
      <c r="E48" s="557"/>
      <c r="F48" s="558"/>
      <c r="G48" s="136"/>
      <c r="H48" s="58"/>
      <c r="I48" s="122" t="s">
        <v>4</v>
      </c>
      <c r="J48" s="559">
        <f>F105</f>
        <v>2815</v>
      </c>
      <c r="K48" s="560"/>
      <c r="L48" s="235">
        <f>J53</f>
        <v>-4040</v>
      </c>
      <c r="M48" s="41"/>
      <c r="N48" s="41"/>
      <c r="O48" s="252" t="s">
        <v>112</v>
      </c>
      <c r="P48" s="256">
        <v>52</v>
      </c>
      <c r="Q48" s="258">
        <v>0</v>
      </c>
      <c r="R48" s="256">
        <f t="shared" si="3"/>
        <v>0</v>
      </c>
      <c r="S48" s="21"/>
      <c r="T48" s="29"/>
      <c r="U48" s="22"/>
      <c r="V48" s="30"/>
      <c r="W48" s="11"/>
      <c r="X48" s="31"/>
      <c r="Y48" s="5"/>
    </row>
    <row r="49" spans="1:26" ht="30" customHeight="1" thickBot="1" x14ac:dyDescent="0.5">
      <c r="A49" s="41"/>
      <c r="B49" s="41"/>
      <c r="C49" s="238"/>
      <c r="D49" s="561">
        <f>K27</f>
        <v>0</v>
      </c>
      <c r="E49" s="562"/>
      <c r="F49" s="563"/>
      <c r="G49" s="136"/>
      <c r="H49" s="58"/>
      <c r="I49" s="122" t="s">
        <v>10</v>
      </c>
      <c r="J49" s="539">
        <f>F76</f>
        <v>500</v>
      </c>
      <c r="K49" s="540"/>
      <c r="L49" s="316" t="s">
        <v>23</v>
      </c>
      <c r="M49" s="41"/>
      <c r="N49" s="41"/>
      <c r="O49" s="252" t="s">
        <v>97</v>
      </c>
      <c r="P49" s="256">
        <v>13</v>
      </c>
      <c r="Q49" s="258">
        <v>0</v>
      </c>
      <c r="R49" s="256">
        <f t="shared" si="3"/>
        <v>0</v>
      </c>
      <c r="S49" s="21"/>
      <c r="T49" s="29"/>
      <c r="U49" s="22"/>
      <c r="V49" s="30"/>
      <c r="W49" s="168"/>
      <c r="X49" s="31"/>
      <c r="Y49" s="5"/>
    </row>
    <row r="50" spans="1:26" ht="30" customHeight="1" thickBot="1" x14ac:dyDescent="0.5">
      <c r="A50" s="41"/>
      <c r="B50" s="41"/>
      <c r="C50" s="239"/>
      <c r="D50" s="536">
        <f>L31</f>
        <v>0</v>
      </c>
      <c r="E50" s="537"/>
      <c r="F50" s="538"/>
      <c r="G50" s="136"/>
      <c r="H50" s="58"/>
      <c r="I50" s="122" t="s">
        <v>11</v>
      </c>
      <c r="J50" s="539">
        <f>F77</f>
        <v>500</v>
      </c>
      <c r="K50" s="540"/>
      <c r="L50" s="235">
        <f>J45+J46+J48+J49+J50+J51+E74</f>
        <v>4040</v>
      </c>
      <c r="M50" s="41"/>
      <c r="N50" s="41"/>
      <c r="O50" s="252" t="s">
        <v>138</v>
      </c>
      <c r="P50" s="256">
        <v>230</v>
      </c>
      <c r="Q50" s="258">
        <v>0</v>
      </c>
      <c r="R50" s="256">
        <f t="shared" si="3"/>
        <v>0</v>
      </c>
      <c r="S50" s="21"/>
      <c r="T50" s="29"/>
      <c r="U50" s="22"/>
      <c r="V50" s="30"/>
      <c r="W50" s="11"/>
      <c r="X50" s="31"/>
      <c r="Y50" s="5"/>
    </row>
    <row r="51" spans="1:26" ht="29.25" thickBot="1" x14ac:dyDescent="0.5">
      <c r="A51" s="41"/>
      <c r="B51" s="41"/>
      <c r="C51" s="270" t="s">
        <v>119</v>
      </c>
      <c r="D51" s="541">
        <f>R4</f>
        <v>0</v>
      </c>
      <c r="E51" s="542"/>
      <c r="F51" s="543"/>
      <c r="G51" s="136"/>
      <c r="H51" s="58"/>
      <c r="I51" s="123" t="s">
        <v>107</v>
      </c>
      <c r="J51" s="544">
        <f>K105</f>
        <v>225</v>
      </c>
      <c r="K51" s="545"/>
      <c r="L51" s="316" t="s">
        <v>2</v>
      </c>
      <c r="M51" s="41"/>
      <c r="N51" s="41"/>
      <c r="O51" s="252" t="s">
        <v>111</v>
      </c>
      <c r="P51" s="256">
        <v>21</v>
      </c>
      <c r="Q51" s="258">
        <v>0</v>
      </c>
      <c r="R51" s="256">
        <f t="shared" si="3"/>
        <v>0</v>
      </c>
      <c r="S51" s="21"/>
      <c r="T51" s="29"/>
      <c r="U51" s="22"/>
      <c r="V51" s="30"/>
      <c r="W51" s="11"/>
      <c r="X51" s="31"/>
      <c r="Y51" s="5"/>
    </row>
    <row r="52" spans="1:26" ht="30" customHeight="1" thickBot="1" x14ac:dyDescent="0.5">
      <c r="A52" s="41"/>
      <c r="B52" s="41"/>
      <c r="C52" s="240"/>
      <c r="D52" s="546">
        <f>R19</f>
        <v>0</v>
      </c>
      <c r="E52" s="547"/>
      <c r="F52" s="548"/>
      <c r="G52" s="136"/>
      <c r="H52" s="58"/>
      <c r="I52" s="124" t="s">
        <v>52</v>
      </c>
      <c r="J52" s="549">
        <f>D54</f>
        <v>0</v>
      </c>
      <c r="K52" s="550"/>
      <c r="L52" s="235">
        <f>J45</f>
        <v>0</v>
      </c>
      <c r="M52" s="41"/>
      <c r="N52" s="41"/>
      <c r="O52" s="252" t="s">
        <v>124</v>
      </c>
      <c r="P52" s="256">
        <v>36</v>
      </c>
      <c r="Q52" s="258">
        <v>0</v>
      </c>
      <c r="R52" s="256">
        <f t="shared" si="3"/>
        <v>0</v>
      </c>
      <c r="S52" s="21"/>
      <c r="T52" s="29"/>
      <c r="U52" s="22"/>
      <c r="V52" s="30"/>
      <c r="W52" s="11"/>
      <c r="X52" s="31"/>
      <c r="Y52" s="5"/>
    </row>
    <row r="53" spans="1:26" ht="30" customHeight="1" thickBot="1" x14ac:dyDescent="0.5">
      <c r="A53" s="41"/>
      <c r="B53" s="41"/>
      <c r="C53" s="270" t="s">
        <v>129</v>
      </c>
      <c r="D53" s="526">
        <f>R31</f>
        <v>0</v>
      </c>
      <c r="E53" s="527"/>
      <c r="F53" s="528"/>
      <c r="G53" s="136"/>
      <c r="H53" s="58"/>
      <c r="I53" s="529" t="s">
        <v>58</v>
      </c>
      <c r="J53" s="513">
        <f>D57-J45-J46-J48-J49-J50-J51-E74</f>
        <v>-4040</v>
      </c>
      <c r="K53" s="514"/>
      <c r="L53" s="515"/>
      <c r="M53" s="41"/>
      <c r="N53" s="41"/>
      <c r="O53" s="252" t="s">
        <v>84</v>
      </c>
      <c r="P53" s="256">
        <v>38</v>
      </c>
      <c r="Q53" s="258">
        <v>0</v>
      </c>
      <c r="R53" s="256">
        <f t="shared" si="3"/>
        <v>0</v>
      </c>
      <c r="S53" s="21"/>
      <c r="T53" s="29"/>
      <c r="U53" s="22"/>
      <c r="V53" s="32"/>
      <c r="W53" s="168"/>
      <c r="X53" s="31"/>
      <c r="Y53" s="5"/>
    </row>
    <row r="54" spans="1:26" ht="29.25" thickBot="1" x14ac:dyDescent="0.5">
      <c r="A54" s="41"/>
      <c r="B54" s="41"/>
      <c r="C54" s="236" t="s">
        <v>56</v>
      </c>
      <c r="D54" s="531">
        <f>P31+P4</f>
        <v>0</v>
      </c>
      <c r="E54" s="532"/>
      <c r="F54" s="533"/>
      <c r="G54" s="136"/>
      <c r="H54" s="58"/>
      <c r="I54" s="530"/>
      <c r="J54" s="516"/>
      <c r="K54" s="516"/>
      <c r="L54" s="517"/>
      <c r="M54" s="41"/>
      <c r="N54" s="41"/>
      <c r="O54" s="252" t="s">
        <v>99</v>
      </c>
      <c r="P54" s="256">
        <v>37</v>
      </c>
      <c r="Q54" s="258">
        <v>0</v>
      </c>
      <c r="R54" s="256">
        <f t="shared" si="3"/>
        <v>0</v>
      </c>
      <c r="S54" s="21"/>
      <c r="T54" s="29"/>
      <c r="U54" s="22"/>
      <c r="V54" s="32"/>
      <c r="W54" s="11"/>
      <c r="X54" s="31"/>
      <c r="Y54" s="5"/>
    </row>
    <row r="55" spans="1:26" ht="29.25" thickBot="1" x14ac:dyDescent="0.5">
      <c r="A55" s="41"/>
      <c r="B55" s="41"/>
      <c r="C55" s="236" t="s">
        <v>72</v>
      </c>
      <c r="D55" s="531"/>
      <c r="E55" s="532"/>
      <c r="F55" s="533"/>
      <c r="G55" s="136"/>
      <c r="H55" s="58"/>
      <c r="I55" s="41"/>
      <c r="J55" s="534"/>
      <c r="K55" s="535"/>
      <c r="L55" s="166"/>
      <c r="M55" s="41"/>
      <c r="N55" s="41"/>
      <c r="O55" s="252" t="s">
        <v>98</v>
      </c>
      <c r="P55" s="256">
        <v>87</v>
      </c>
      <c r="Q55" s="258">
        <v>0</v>
      </c>
      <c r="R55" s="256">
        <f t="shared" si="3"/>
        <v>0</v>
      </c>
      <c r="S55" s="21"/>
      <c r="T55" s="29"/>
      <c r="U55" s="22"/>
      <c r="V55" s="33"/>
      <c r="W55" s="23"/>
      <c r="X55" s="34"/>
      <c r="Y55" s="5"/>
    </row>
    <row r="56" spans="1:26" ht="29.25" thickBot="1" x14ac:dyDescent="0.5">
      <c r="A56" s="41"/>
      <c r="B56" s="41"/>
      <c r="C56" s="236" t="s">
        <v>1</v>
      </c>
      <c r="D56" s="505">
        <f>D42+D15+Q4+Q31</f>
        <v>0</v>
      </c>
      <c r="E56" s="506"/>
      <c r="F56" s="507"/>
      <c r="G56" s="136"/>
      <c r="H56" s="58"/>
      <c r="I56" s="508" t="s">
        <v>19</v>
      </c>
      <c r="J56" s="509"/>
      <c r="K56" s="509"/>
      <c r="L56" s="510"/>
      <c r="M56" s="41"/>
      <c r="N56" s="41"/>
      <c r="O56" s="253" t="s">
        <v>100</v>
      </c>
      <c r="P56" s="247">
        <v>44</v>
      </c>
      <c r="Q56" s="258">
        <v>0</v>
      </c>
      <c r="R56" s="256">
        <f t="shared" si="3"/>
        <v>0</v>
      </c>
      <c r="S56" s="21"/>
      <c r="T56" s="29"/>
      <c r="U56" s="22"/>
      <c r="V56" s="30"/>
      <c r="W56" s="11"/>
      <c r="X56" s="31"/>
      <c r="Y56" s="6"/>
    </row>
    <row r="57" spans="1:26" ht="29.25" customHeight="1" x14ac:dyDescent="0.45">
      <c r="A57" s="41"/>
      <c r="B57" s="41"/>
      <c r="C57" s="511" t="s">
        <v>35</v>
      </c>
      <c r="D57" s="513">
        <f>SUM(D45:D53)+D55</f>
        <v>0</v>
      </c>
      <c r="E57" s="514"/>
      <c r="F57" s="515"/>
      <c r="G57" s="136"/>
      <c r="H57" s="58"/>
      <c r="I57" s="518" t="s">
        <v>55</v>
      </c>
      <c r="J57" s="519"/>
      <c r="K57" s="519"/>
      <c r="L57" s="302">
        <v>0</v>
      </c>
      <c r="M57" s="129"/>
      <c r="N57" s="129"/>
      <c r="O57" s="253" t="s">
        <v>101</v>
      </c>
      <c r="P57" s="247">
        <v>60</v>
      </c>
      <c r="Q57" s="258">
        <v>0</v>
      </c>
      <c r="R57" s="256">
        <f t="shared" si="3"/>
        <v>0</v>
      </c>
      <c r="S57" s="21"/>
      <c r="T57" s="29"/>
      <c r="U57" s="22"/>
      <c r="V57" s="35"/>
      <c r="W57" s="12"/>
      <c r="X57" s="36"/>
      <c r="Y57" s="6"/>
    </row>
    <row r="58" spans="1:26" ht="27" thickBot="1" x14ac:dyDescent="0.45">
      <c r="A58" s="41"/>
      <c r="B58" s="41"/>
      <c r="C58" s="512"/>
      <c r="D58" s="516"/>
      <c r="E58" s="516"/>
      <c r="F58" s="517"/>
      <c r="G58" s="136"/>
      <c r="H58" s="57"/>
      <c r="I58" s="520" t="s">
        <v>30</v>
      </c>
      <c r="J58" s="521"/>
      <c r="K58" s="521"/>
      <c r="L58" s="126"/>
      <c r="M58" s="129"/>
      <c r="N58" s="129"/>
      <c r="O58" s="253" t="s">
        <v>102</v>
      </c>
      <c r="P58" s="247">
        <v>160</v>
      </c>
      <c r="Q58" s="258">
        <v>0</v>
      </c>
      <c r="R58" s="256">
        <f t="shared" si="3"/>
        <v>0</v>
      </c>
      <c r="S58" s="16"/>
      <c r="T58" s="207"/>
      <c r="U58" s="16"/>
      <c r="V58" s="16"/>
      <c r="W58" s="24"/>
      <c r="X58" s="16"/>
    </row>
    <row r="59" spans="1:26" ht="27" thickBot="1" x14ac:dyDescent="0.45">
      <c r="A59" s="41"/>
      <c r="B59" s="41"/>
      <c r="C59" s="105"/>
      <c r="D59" s="106"/>
      <c r="E59" s="106"/>
      <c r="F59" s="106"/>
      <c r="G59" s="58"/>
      <c r="H59" s="57"/>
      <c r="I59" s="490" t="s">
        <v>26</v>
      </c>
      <c r="J59" s="491"/>
      <c r="K59" s="491"/>
      <c r="L59" s="127">
        <v>0</v>
      </c>
      <c r="M59" s="41"/>
      <c r="N59" s="41"/>
      <c r="O59" s="253" t="s">
        <v>85</v>
      </c>
      <c r="P59" s="247">
        <v>95</v>
      </c>
      <c r="Q59" s="258">
        <v>0</v>
      </c>
      <c r="R59" s="256">
        <f t="shared" si="3"/>
        <v>0</v>
      </c>
      <c r="S59" s="12"/>
      <c r="T59" s="13"/>
      <c r="U59" s="16"/>
      <c r="V59" s="17"/>
      <c r="W59" s="17"/>
      <c r="X59" s="18"/>
      <c r="Y59" s="8"/>
      <c r="Z59" s="3"/>
    </row>
    <row r="60" spans="1:26" x14ac:dyDescent="0.4">
      <c r="A60" s="41"/>
      <c r="B60" s="41"/>
      <c r="C60" s="522"/>
      <c r="D60" s="524"/>
      <c r="E60" s="525"/>
      <c r="F60" s="525"/>
      <c r="G60" s="58"/>
      <c r="H60" s="57"/>
      <c r="I60" s="301"/>
      <c r="J60" s="78"/>
      <c r="K60" s="78"/>
      <c r="L60" s="87"/>
      <c r="M60" s="41"/>
      <c r="N60" s="41"/>
      <c r="O60" s="253" t="s">
        <v>110</v>
      </c>
      <c r="P60" s="247">
        <v>292</v>
      </c>
      <c r="Q60" s="248">
        <v>0</v>
      </c>
      <c r="R60" s="256">
        <f t="shared" si="3"/>
        <v>0</v>
      </c>
      <c r="S60" s="12"/>
      <c r="T60" s="13"/>
      <c r="U60" s="16"/>
      <c r="V60" s="17"/>
      <c r="W60" s="17"/>
      <c r="X60" s="18"/>
      <c r="Y60" s="8"/>
      <c r="Z60" s="3"/>
    </row>
    <row r="61" spans="1:26" x14ac:dyDescent="0.4">
      <c r="A61" s="41"/>
      <c r="B61" s="41"/>
      <c r="C61" s="523"/>
      <c r="D61" s="525"/>
      <c r="E61" s="525"/>
      <c r="F61" s="525"/>
      <c r="G61" s="58"/>
      <c r="H61" s="57"/>
      <c r="I61" s="301"/>
      <c r="J61" s="78"/>
      <c r="K61" s="78"/>
      <c r="L61" s="87"/>
      <c r="M61" s="41"/>
      <c r="N61" s="41"/>
      <c r="O61" s="253" t="s">
        <v>109</v>
      </c>
      <c r="P61" s="247">
        <v>190</v>
      </c>
      <c r="Q61" s="248">
        <v>0</v>
      </c>
      <c r="R61" s="256">
        <f t="shared" si="3"/>
        <v>0</v>
      </c>
      <c r="S61" s="12"/>
      <c r="T61" s="13"/>
      <c r="U61" s="16"/>
      <c r="V61" s="17"/>
      <c r="W61" s="17"/>
      <c r="X61" s="18"/>
      <c r="Y61" s="8"/>
      <c r="Z61" s="3"/>
    </row>
    <row r="62" spans="1:26" x14ac:dyDescent="0.4">
      <c r="A62" s="41"/>
      <c r="B62" s="41"/>
      <c r="C62" s="105"/>
      <c r="D62" s="106"/>
      <c r="E62" s="106"/>
      <c r="F62" s="106"/>
      <c r="G62" s="58"/>
      <c r="H62" s="57"/>
      <c r="I62" s="301"/>
      <c r="J62" s="78"/>
      <c r="K62" s="78"/>
      <c r="L62" s="87"/>
      <c r="M62" s="41"/>
      <c r="N62" s="41"/>
      <c r="O62" s="253" t="s">
        <v>103</v>
      </c>
      <c r="P62" s="247">
        <v>210</v>
      </c>
      <c r="Q62" s="248">
        <v>0</v>
      </c>
      <c r="R62" s="256">
        <f t="shared" si="3"/>
        <v>0</v>
      </c>
      <c r="S62" s="12"/>
      <c r="T62" s="13"/>
      <c r="U62" s="16"/>
      <c r="V62" s="17"/>
      <c r="W62" s="17"/>
      <c r="X62" s="18"/>
      <c r="Y62" s="8"/>
      <c r="Z62" s="3"/>
    </row>
    <row r="63" spans="1:26" x14ac:dyDescent="0.4">
      <c r="A63" s="41"/>
      <c r="B63" s="41"/>
      <c r="C63" s="105"/>
      <c r="D63" s="106"/>
      <c r="E63" s="106"/>
      <c r="F63" s="106"/>
      <c r="G63" s="58"/>
      <c r="H63" s="57"/>
      <c r="I63" s="301"/>
      <c r="J63" s="78"/>
      <c r="K63" s="78"/>
      <c r="L63" s="87"/>
      <c r="M63" s="41"/>
      <c r="N63" s="41"/>
      <c r="O63" s="253" t="s">
        <v>127</v>
      </c>
      <c r="P63" s="247">
        <v>11</v>
      </c>
      <c r="Q63" s="248">
        <v>0</v>
      </c>
      <c r="R63" s="256">
        <f t="shared" si="3"/>
        <v>0</v>
      </c>
      <c r="S63" s="12"/>
      <c r="T63" s="13"/>
      <c r="U63" s="16"/>
      <c r="V63" s="17"/>
      <c r="W63" s="17"/>
      <c r="X63" s="18"/>
      <c r="Y63" s="8"/>
      <c r="Z63" s="3"/>
    </row>
    <row r="64" spans="1:26" x14ac:dyDescent="0.4">
      <c r="A64" s="41"/>
      <c r="B64" s="41"/>
      <c r="C64" s="105"/>
      <c r="D64" s="106"/>
      <c r="E64" s="106"/>
      <c r="F64" s="106"/>
      <c r="G64" s="58"/>
      <c r="H64" s="57"/>
      <c r="I64" s="301"/>
      <c r="J64" s="78"/>
      <c r="K64" s="78"/>
      <c r="L64" s="87"/>
      <c r="M64" s="41"/>
      <c r="N64" s="41"/>
      <c r="O64" s="254" t="s">
        <v>139</v>
      </c>
      <c r="P64" s="247">
        <v>240</v>
      </c>
      <c r="Q64" s="248">
        <v>0</v>
      </c>
      <c r="R64" s="256">
        <f t="shared" si="3"/>
        <v>0</v>
      </c>
      <c r="S64" s="12"/>
      <c r="T64" s="13"/>
      <c r="U64" s="16"/>
      <c r="V64" s="17"/>
      <c r="W64" s="17"/>
      <c r="X64" s="18"/>
      <c r="Y64" s="8"/>
      <c r="Z64" s="3"/>
    </row>
    <row r="65" spans="1:26" x14ac:dyDescent="0.4">
      <c r="A65" s="41"/>
      <c r="B65" s="41"/>
      <c r="C65" s="105"/>
      <c r="D65" s="106"/>
      <c r="E65" s="106"/>
      <c r="F65" s="106"/>
      <c r="G65" s="58"/>
      <c r="H65" s="57"/>
      <c r="I65" s="301"/>
      <c r="J65" s="78"/>
      <c r="K65" s="78"/>
      <c r="L65" s="87"/>
      <c r="M65" s="41"/>
      <c r="N65" s="41"/>
      <c r="O65" s="253" t="s">
        <v>125</v>
      </c>
      <c r="P65" s="247">
        <v>38</v>
      </c>
      <c r="Q65" s="248">
        <v>0</v>
      </c>
      <c r="R65" s="256">
        <f t="shared" si="3"/>
        <v>0</v>
      </c>
      <c r="S65" s="12"/>
      <c r="T65" s="13"/>
      <c r="U65" s="16"/>
      <c r="V65" s="17"/>
      <c r="W65" s="17"/>
      <c r="X65" s="18"/>
      <c r="Y65" s="8"/>
      <c r="Z65" s="3"/>
    </row>
    <row r="66" spans="1:26" x14ac:dyDescent="0.4">
      <c r="A66" s="41"/>
      <c r="B66" s="41"/>
      <c r="C66" s="105"/>
      <c r="D66" s="106"/>
      <c r="E66" s="106"/>
      <c r="F66" s="106"/>
      <c r="G66" s="58"/>
      <c r="H66" s="57"/>
      <c r="I66" s="301"/>
      <c r="J66" s="78"/>
      <c r="K66" s="78"/>
      <c r="L66" s="87"/>
      <c r="M66" s="41"/>
      <c r="N66" s="41"/>
      <c r="O66" s="255" t="s">
        <v>126</v>
      </c>
      <c r="P66" s="257">
        <v>44</v>
      </c>
      <c r="Q66" s="259">
        <v>0</v>
      </c>
      <c r="R66" s="256">
        <f t="shared" si="3"/>
        <v>0</v>
      </c>
      <c r="S66" s="12"/>
      <c r="T66" s="13"/>
      <c r="U66" s="16"/>
      <c r="V66" s="17"/>
      <c r="W66" s="17"/>
      <c r="X66" s="18"/>
      <c r="Y66" s="8"/>
      <c r="Z66" s="3"/>
    </row>
    <row r="67" spans="1:26" x14ac:dyDescent="0.4">
      <c r="A67" s="41"/>
      <c r="B67" s="41"/>
      <c r="C67" s="105"/>
      <c r="D67" s="106"/>
      <c r="E67" s="106"/>
      <c r="F67" s="106"/>
      <c r="G67" s="58"/>
      <c r="H67" s="57"/>
      <c r="I67" s="301"/>
      <c r="J67" s="78"/>
      <c r="K67" s="78"/>
      <c r="L67" s="87"/>
      <c r="M67" s="41"/>
      <c r="N67" s="41"/>
      <c r="O67" s="255" t="s">
        <v>86</v>
      </c>
      <c r="P67" s="257">
        <v>16</v>
      </c>
      <c r="Q67" s="259">
        <v>0</v>
      </c>
      <c r="R67" s="256">
        <f t="shared" si="3"/>
        <v>0</v>
      </c>
      <c r="T67" s="13"/>
      <c r="U67" s="16"/>
      <c r="V67" s="17"/>
      <c r="W67" s="17"/>
      <c r="X67" s="18"/>
      <c r="Y67" s="8"/>
      <c r="Z67" s="3"/>
    </row>
    <row r="68" spans="1:26" ht="27" thickBot="1" x14ac:dyDescent="0.45">
      <c r="A68" s="41"/>
      <c r="B68" s="41"/>
      <c r="C68" s="105"/>
      <c r="D68" s="106"/>
      <c r="E68" s="106"/>
      <c r="F68" s="106"/>
      <c r="G68" s="58"/>
      <c r="H68" s="57"/>
      <c r="I68" s="301"/>
      <c r="J68" s="78"/>
      <c r="K68" s="78"/>
      <c r="L68" s="87"/>
      <c r="M68" s="41"/>
      <c r="N68" s="41"/>
      <c r="O68" s="260" t="s">
        <v>104</v>
      </c>
      <c r="P68" s="261">
        <v>6</v>
      </c>
      <c r="Q68" s="262">
        <v>0</v>
      </c>
      <c r="R68" s="256">
        <f t="shared" si="3"/>
        <v>0</v>
      </c>
      <c r="T68" s="13"/>
      <c r="U68" s="16"/>
      <c r="V68" s="17"/>
      <c r="W68" s="17"/>
      <c r="X68" s="18"/>
      <c r="Y68" s="8"/>
      <c r="Z68" s="3"/>
    </row>
    <row r="69" spans="1:26" x14ac:dyDescent="0.4">
      <c r="A69" s="41"/>
      <c r="B69" s="41"/>
      <c r="C69" s="105"/>
      <c r="D69" s="106"/>
      <c r="E69" s="106"/>
      <c r="F69" s="106"/>
      <c r="G69" s="58"/>
      <c r="H69" s="57"/>
      <c r="I69" s="301"/>
      <c r="J69" s="78"/>
      <c r="K69" s="78"/>
      <c r="L69" s="87"/>
      <c r="M69" s="41"/>
      <c r="N69" s="41"/>
      <c r="O69" s="229" t="s">
        <v>77</v>
      </c>
      <c r="P69" s="230">
        <v>10</v>
      </c>
      <c r="Q69" s="231">
        <v>0</v>
      </c>
      <c r="R69" s="249">
        <f>P69*Q69</f>
        <v>0</v>
      </c>
      <c r="T69" s="13"/>
      <c r="U69" s="16"/>
      <c r="V69" s="17"/>
      <c r="W69" s="17"/>
      <c r="X69" s="18"/>
      <c r="Y69" s="8"/>
      <c r="Z69" s="3"/>
    </row>
    <row r="70" spans="1:26" ht="27" thickBot="1" x14ac:dyDescent="0.45">
      <c r="A70" s="41"/>
      <c r="B70" s="41"/>
      <c r="C70" s="105"/>
      <c r="D70" s="106"/>
      <c r="E70" s="106"/>
      <c r="F70" s="106"/>
      <c r="G70" s="58"/>
      <c r="H70" s="57"/>
      <c r="I70" s="301"/>
      <c r="J70" s="78"/>
      <c r="K70" s="78"/>
      <c r="L70" s="87"/>
      <c r="M70" s="41"/>
      <c r="N70" s="41"/>
      <c r="O70" s="232" t="s">
        <v>78</v>
      </c>
      <c r="P70" s="233">
        <v>8</v>
      </c>
      <c r="Q70" s="234">
        <v>0</v>
      </c>
      <c r="R70" s="250">
        <f>P70*Q70</f>
        <v>0</v>
      </c>
      <c r="T70" s="13"/>
      <c r="U70" s="16"/>
      <c r="V70" s="17"/>
      <c r="W70" s="17"/>
      <c r="X70" s="18"/>
      <c r="Y70" s="8"/>
      <c r="Z70" s="3"/>
    </row>
    <row r="71" spans="1:26" ht="29.25" thickBot="1" x14ac:dyDescent="0.5">
      <c r="A71" s="41"/>
      <c r="B71" s="41"/>
      <c r="C71" s="105"/>
      <c r="D71" s="106"/>
      <c r="E71" s="106"/>
      <c r="F71" s="106"/>
      <c r="G71" s="58"/>
      <c r="H71" s="57"/>
      <c r="I71" s="301"/>
      <c r="J71" s="78"/>
      <c r="K71" s="78"/>
      <c r="L71" s="87"/>
      <c r="M71" s="41"/>
      <c r="N71" s="41"/>
      <c r="O71" s="492" t="s">
        <v>37</v>
      </c>
      <c r="P71" s="493"/>
      <c r="Q71" s="325">
        <f>SUM(Q45:Q68)</f>
        <v>0</v>
      </c>
      <c r="R71" s="326">
        <f>SUM(R45:R70)</f>
        <v>0</v>
      </c>
      <c r="S71" s="12"/>
      <c r="T71" s="13"/>
      <c r="U71" s="16"/>
      <c r="V71" s="17"/>
      <c r="W71" s="17"/>
      <c r="X71" s="18"/>
      <c r="Y71" s="8"/>
      <c r="Z71" s="3"/>
    </row>
    <row r="72" spans="1:26" ht="33.950000000000003" customHeight="1" thickBot="1" x14ac:dyDescent="0.45">
      <c r="A72" s="41"/>
      <c r="B72" s="41"/>
      <c r="C72" s="57"/>
      <c r="D72" s="58"/>
      <c r="E72" s="58"/>
      <c r="F72" s="59"/>
      <c r="G72" s="135"/>
      <c r="H72" s="58"/>
      <c r="I72" s="494" t="s">
        <v>31</v>
      </c>
      <c r="J72" s="495"/>
      <c r="K72" s="495"/>
      <c r="L72" s="496"/>
      <c r="M72" s="41"/>
      <c r="N72" s="41"/>
      <c r="O72" s="41"/>
      <c r="P72" s="41"/>
      <c r="Q72" s="41"/>
      <c r="R72" s="41"/>
      <c r="S72" s="207"/>
      <c r="T72" s="11"/>
      <c r="U72" s="16"/>
      <c r="V72" s="19"/>
      <c r="W72" s="15"/>
      <c r="X72" s="19"/>
      <c r="Y72" s="4"/>
      <c r="Z72" s="3"/>
    </row>
    <row r="73" spans="1:26" ht="27" thickBot="1" x14ac:dyDescent="0.45">
      <c r="A73" s="41"/>
      <c r="B73" s="41"/>
      <c r="C73" s="161"/>
      <c r="D73" s="161"/>
      <c r="E73" s="161"/>
      <c r="F73" s="162"/>
      <c r="G73" s="135"/>
      <c r="H73" s="58"/>
      <c r="I73" s="497" t="s">
        <v>7</v>
      </c>
      <c r="J73" s="498"/>
      <c r="K73" s="228" t="s">
        <v>8</v>
      </c>
      <c r="L73" s="112" t="s">
        <v>9</v>
      </c>
      <c r="M73" s="41"/>
      <c r="N73" s="41"/>
      <c r="O73" s="14"/>
      <c r="P73" s="11"/>
      <c r="Q73" s="11"/>
      <c r="R73" s="11"/>
      <c r="S73" s="11"/>
      <c r="T73" s="11"/>
      <c r="U73" s="16"/>
      <c r="V73" s="19"/>
      <c r="W73" s="15"/>
      <c r="X73" s="19"/>
      <c r="Y73" s="4"/>
      <c r="Z73" s="3"/>
    </row>
    <row r="74" spans="1:26" ht="29.25" customHeight="1" thickBot="1" x14ac:dyDescent="0.55000000000000004">
      <c r="A74" s="41"/>
      <c r="B74" s="41"/>
      <c r="C74" s="499" t="s">
        <v>6</v>
      </c>
      <c r="D74" s="500"/>
      <c r="E74" s="501">
        <f>(D57/100)*50</f>
        <v>0</v>
      </c>
      <c r="F74" s="502"/>
      <c r="G74" s="158"/>
      <c r="H74" s="58"/>
      <c r="I74" s="503"/>
      <c r="J74" s="504"/>
      <c r="K74" s="358"/>
      <c r="L74" s="359"/>
      <c r="M74" s="130"/>
      <c r="N74" s="130"/>
      <c r="O74" s="37"/>
      <c r="P74" s="207"/>
      <c r="Q74" s="207"/>
      <c r="R74" s="207"/>
      <c r="S74" s="16"/>
      <c r="T74" s="16"/>
      <c r="U74" s="16"/>
      <c r="V74" s="16"/>
      <c r="W74" s="11"/>
      <c r="X74" s="16"/>
    </row>
    <row r="75" spans="1:26" ht="29.25" thickBot="1" x14ac:dyDescent="0.45">
      <c r="A75" s="41"/>
      <c r="B75" s="41"/>
      <c r="C75" s="163"/>
      <c r="D75" s="164"/>
      <c r="E75" s="165"/>
      <c r="F75" s="165"/>
      <c r="G75" s="70"/>
      <c r="H75" s="58"/>
      <c r="I75" s="478"/>
      <c r="J75" s="479"/>
      <c r="K75" s="360"/>
      <c r="L75" s="361"/>
      <c r="M75" s="131"/>
      <c r="N75" s="131"/>
      <c r="O75" s="480" t="s">
        <v>36</v>
      </c>
      <c r="P75" s="481"/>
      <c r="Q75" s="481"/>
      <c r="R75" s="482"/>
      <c r="S75" s="16"/>
      <c r="T75" s="483"/>
      <c r="U75" s="483"/>
      <c r="V75" s="483"/>
      <c r="W75" s="483"/>
      <c r="X75" s="483"/>
    </row>
    <row r="76" spans="1:26" x14ac:dyDescent="0.4">
      <c r="A76" s="41"/>
      <c r="B76" s="41"/>
      <c r="C76" s="409" t="s">
        <v>10</v>
      </c>
      <c r="D76" s="410"/>
      <c r="E76" s="411"/>
      <c r="F76" s="412">
        <v>500</v>
      </c>
      <c r="G76" s="135"/>
      <c r="H76" s="58"/>
      <c r="I76" s="455"/>
      <c r="J76" s="456"/>
      <c r="K76" s="360"/>
      <c r="L76" s="361"/>
      <c r="M76" s="132"/>
      <c r="N76" s="132"/>
      <c r="O76" s="484">
        <f>J53-J52</f>
        <v>-4040</v>
      </c>
      <c r="P76" s="485"/>
      <c r="Q76" s="485"/>
      <c r="R76" s="486"/>
      <c r="S76" s="16"/>
      <c r="T76" s="38"/>
      <c r="U76" s="464"/>
      <c r="V76" s="464"/>
      <c r="W76" s="464"/>
      <c r="X76" s="464"/>
      <c r="Z76" s="205"/>
    </row>
    <row r="77" spans="1:26" ht="27" thickBot="1" x14ac:dyDescent="0.45">
      <c r="A77" s="41"/>
      <c r="B77" s="41"/>
      <c r="C77" s="413" t="s">
        <v>11</v>
      </c>
      <c r="D77" s="414"/>
      <c r="E77" s="415"/>
      <c r="F77" s="416">
        <v>500</v>
      </c>
      <c r="G77" s="70"/>
      <c r="H77" s="58"/>
      <c r="I77" s="455"/>
      <c r="J77" s="456"/>
      <c r="K77" s="362"/>
      <c r="L77" s="361"/>
      <c r="M77" s="132"/>
      <c r="N77" s="132"/>
      <c r="O77" s="487"/>
      <c r="P77" s="488"/>
      <c r="Q77" s="488"/>
      <c r="R77" s="489"/>
      <c r="S77" s="16"/>
      <c r="T77" s="38"/>
      <c r="U77" s="464"/>
      <c r="V77" s="464"/>
      <c r="W77" s="464"/>
      <c r="X77" s="464"/>
      <c r="Z77" s="205"/>
    </row>
    <row r="78" spans="1:26" ht="27" thickBot="1" x14ac:dyDescent="0.45">
      <c r="A78" s="41"/>
      <c r="B78" s="41"/>
      <c r="C78" s="56"/>
      <c r="D78" s="142"/>
      <c r="E78" s="99"/>
      <c r="F78" s="71"/>
      <c r="G78" s="159"/>
      <c r="H78" s="58"/>
      <c r="I78" s="455"/>
      <c r="J78" s="456"/>
      <c r="K78" s="360"/>
      <c r="L78" s="361"/>
      <c r="M78" s="131"/>
      <c r="N78" s="131"/>
      <c r="O78" s="312" t="s">
        <v>53</v>
      </c>
      <c r="P78" s="313">
        <f>J52</f>
        <v>0</v>
      </c>
      <c r="Q78" s="473" t="s">
        <v>54</v>
      </c>
      <c r="R78" s="474"/>
      <c r="S78" s="16"/>
      <c r="T78" s="38"/>
      <c r="U78" s="464"/>
      <c r="V78" s="464"/>
      <c r="W78" s="464"/>
      <c r="X78" s="464"/>
      <c r="Z78" s="205"/>
    </row>
    <row r="79" spans="1:26" ht="32.25" thickBot="1" x14ac:dyDescent="0.55000000000000004">
      <c r="A79" s="41"/>
      <c r="B79" s="41"/>
      <c r="C79" s="475" t="s">
        <v>3</v>
      </c>
      <c r="D79" s="476"/>
      <c r="E79" s="477">
        <f>F80+F81+F82</f>
        <v>0</v>
      </c>
      <c r="F79" s="477"/>
      <c r="G79" s="160"/>
      <c r="H79" s="58"/>
      <c r="I79" s="455"/>
      <c r="J79" s="456"/>
      <c r="K79" s="362"/>
      <c r="L79" s="361"/>
      <c r="M79" s="132"/>
      <c r="N79" s="132"/>
      <c r="O79" s="16"/>
      <c r="P79" s="16"/>
      <c r="Q79" s="16"/>
      <c r="R79" s="16"/>
      <c r="S79" s="16"/>
      <c r="T79" s="38"/>
      <c r="U79" s="464"/>
      <c r="V79" s="464"/>
      <c r="W79" s="464"/>
      <c r="X79" s="464"/>
      <c r="Z79" s="205"/>
    </row>
    <row r="80" spans="1:26" x14ac:dyDescent="0.4">
      <c r="A80" s="41"/>
      <c r="B80" s="41"/>
      <c r="C80" s="468" t="s">
        <v>33</v>
      </c>
      <c r="D80" s="469"/>
      <c r="E80" s="469"/>
      <c r="F80" s="97">
        <f>(E4+E6+E31+E33+K6)*1.6+(E5+E7+E32+E34+K5+K7+L59)*1+(E8+E35+K8)*5+(L57+L58)*1.6</f>
        <v>0</v>
      </c>
      <c r="G80" s="139"/>
      <c r="H80" s="58"/>
      <c r="I80" s="455"/>
      <c r="J80" s="456"/>
      <c r="K80" s="362"/>
      <c r="L80" s="361"/>
      <c r="M80" s="132"/>
      <c r="N80" s="132"/>
      <c r="O80" s="470"/>
      <c r="P80" s="470"/>
      <c r="Q80" s="16"/>
      <c r="R80" s="16"/>
      <c r="S80" s="16"/>
      <c r="T80" s="38"/>
      <c r="U80" s="464"/>
      <c r="V80" s="464"/>
      <c r="W80" s="464"/>
      <c r="X80" s="464"/>
      <c r="Z80" s="205"/>
    </row>
    <row r="81" spans="1:27" ht="27" thickBot="1" x14ac:dyDescent="0.45">
      <c r="A81" s="41"/>
      <c r="B81" s="41"/>
      <c r="C81" s="471" t="s">
        <v>32</v>
      </c>
      <c r="D81" s="472"/>
      <c r="E81" s="472"/>
      <c r="F81" s="98">
        <f>R71</f>
        <v>0</v>
      </c>
      <c r="G81" s="139"/>
      <c r="H81" s="58"/>
      <c r="I81" s="455"/>
      <c r="J81" s="456"/>
      <c r="K81" s="360"/>
      <c r="L81" s="361"/>
      <c r="M81" s="132"/>
      <c r="N81" s="132"/>
      <c r="O81" s="16"/>
      <c r="P81" s="31"/>
      <c r="Q81" s="16"/>
      <c r="R81" s="16"/>
      <c r="S81" s="16"/>
      <c r="T81" s="38"/>
      <c r="U81" s="464"/>
      <c r="V81" s="464"/>
      <c r="W81" s="464"/>
      <c r="X81" s="464"/>
      <c r="Z81" s="205"/>
    </row>
    <row r="82" spans="1:27" ht="27" thickBot="1" x14ac:dyDescent="0.45">
      <c r="A82" s="41"/>
      <c r="B82" s="41"/>
      <c r="C82" s="56"/>
      <c r="D82" s="94"/>
      <c r="E82" s="95"/>
      <c r="F82" s="96"/>
      <c r="G82" s="135"/>
      <c r="H82" s="58"/>
      <c r="I82" s="455"/>
      <c r="J82" s="456"/>
      <c r="K82" s="360"/>
      <c r="L82" s="361"/>
      <c r="M82" s="132"/>
      <c r="N82" s="132"/>
      <c r="O82" s="16"/>
      <c r="P82" s="31"/>
      <c r="Q82" s="16"/>
      <c r="R82" s="16"/>
      <c r="S82" s="16"/>
      <c r="T82" s="38"/>
      <c r="U82" s="464"/>
      <c r="V82" s="464"/>
      <c r="W82" s="464"/>
      <c r="X82" s="464"/>
      <c r="Z82" s="205"/>
    </row>
    <row r="83" spans="1:27" ht="29.25" customHeight="1" thickBot="1" x14ac:dyDescent="0.45">
      <c r="A83" s="41"/>
      <c r="B83" s="41"/>
      <c r="C83" s="465" t="s">
        <v>34</v>
      </c>
      <c r="D83" s="466"/>
      <c r="E83" s="466"/>
      <c r="F83" s="467"/>
      <c r="G83" s="137"/>
      <c r="H83" s="58"/>
      <c r="I83" s="455"/>
      <c r="J83" s="456"/>
      <c r="K83" s="360"/>
      <c r="L83" s="361"/>
      <c r="M83" s="132"/>
      <c r="N83" s="132"/>
      <c r="O83" s="16"/>
      <c r="P83" s="31"/>
      <c r="Q83" s="16"/>
      <c r="R83" s="16"/>
      <c r="S83" s="16"/>
      <c r="T83" s="11"/>
      <c r="U83" s="11"/>
      <c r="V83" s="16"/>
      <c r="W83" s="11"/>
      <c r="X83" s="16"/>
    </row>
    <row r="84" spans="1:27" ht="27" thickBot="1" x14ac:dyDescent="0.45">
      <c r="A84" s="41"/>
      <c r="B84" s="41"/>
      <c r="C84" s="365" t="s">
        <v>41</v>
      </c>
      <c r="D84" s="363" t="s">
        <v>12</v>
      </c>
      <c r="E84" s="363" t="s">
        <v>13</v>
      </c>
      <c r="F84" s="366" t="s">
        <v>5</v>
      </c>
      <c r="G84" s="446"/>
      <c r="H84" s="58"/>
      <c r="I84" s="455"/>
      <c r="J84" s="456"/>
      <c r="K84" s="360"/>
      <c r="L84" s="361"/>
      <c r="M84" s="132"/>
      <c r="N84" s="132"/>
      <c r="O84" s="16"/>
      <c r="P84" s="31"/>
      <c r="Q84" s="16"/>
      <c r="R84" s="16"/>
      <c r="S84" s="74"/>
      <c r="T84" s="16"/>
      <c r="U84" s="16"/>
      <c r="V84" s="16"/>
      <c r="W84" s="207"/>
      <c r="X84" s="16"/>
      <c r="Y84" s="48"/>
      <c r="Z84" s="438"/>
      <c r="AA84" s="438"/>
    </row>
    <row r="85" spans="1:27" x14ac:dyDescent="0.4">
      <c r="A85" s="41"/>
      <c r="B85" s="430"/>
      <c r="C85" s="367" t="s">
        <v>20</v>
      </c>
      <c r="D85" s="368">
        <v>180</v>
      </c>
      <c r="E85" s="369">
        <v>2</v>
      </c>
      <c r="F85" s="370">
        <f>D85*E85</f>
        <v>360</v>
      </c>
      <c r="G85" s="446"/>
      <c r="H85" s="58"/>
      <c r="I85" s="455"/>
      <c r="J85" s="456"/>
      <c r="K85" s="346"/>
      <c r="L85" s="347"/>
      <c r="M85" s="132"/>
      <c r="N85" s="132"/>
      <c r="O85" s="35"/>
      <c r="P85" s="39"/>
      <c r="Q85" s="16"/>
      <c r="R85" s="16"/>
      <c r="S85" s="16"/>
      <c r="T85" s="51"/>
      <c r="U85" s="43"/>
      <c r="V85" s="52"/>
      <c r="W85" s="44"/>
      <c r="X85" s="53"/>
      <c r="Y85" s="41"/>
      <c r="Z85" s="9"/>
    </row>
    <row r="86" spans="1:27" x14ac:dyDescent="0.4">
      <c r="A86" s="41"/>
      <c r="B86" s="430"/>
      <c r="C86" s="371" t="s">
        <v>14</v>
      </c>
      <c r="D86" s="372">
        <v>135</v>
      </c>
      <c r="E86" s="373">
        <v>2</v>
      </c>
      <c r="F86" s="374">
        <f>D86*E86</f>
        <v>270</v>
      </c>
      <c r="G86" s="446"/>
      <c r="H86" s="58"/>
      <c r="I86" s="455"/>
      <c r="J86" s="456"/>
      <c r="K86" s="346"/>
      <c r="L86" s="347"/>
      <c r="M86" s="132"/>
      <c r="N86" s="132"/>
      <c r="O86" s="167"/>
      <c r="P86" s="16"/>
      <c r="Q86" s="16"/>
      <c r="R86" s="16"/>
      <c r="S86" s="16"/>
      <c r="T86" s="51"/>
      <c r="U86" s="43"/>
      <c r="V86" s="52"/>
      <c r="W86" s="44"/>
      <c r="X86" s="53"/>
      <c r="Y86" s="75"/>
      <c r="Z86" s="10"/>
    </row>
    <row r="87" spans="1:27" x14ac:dyDescent="0.4">
      <c r="A87" s="41"/>
      <c r="B87" s="430"/>
      <c r="C87" s="375" t="s">
        <v>142</v>
      </c>
      <c r="D87" s="372">
        <v>135</v>
      </c>
      <c r="E87" s="373">
        <v>1</v>
      </c>
      <c r="F87" s="374">
        <f>D87*E87</f>
        <v>135</v>
      </c>
      <c r="G87" s="446"/>
      <c r="H87" s="58"/>
      <c r="I87" s="451"/>
      <c r="J87" s="434"/>
      <c r="K87" s="350"/>
      <c r="L87" s="61"/>
      <c r="M87" s="132"/>
      <c r="N87" s="132"/>
      <c r="O87" s="77"/>
      <c r="P87" s="78"/>
      <c r="Q87" s="78"/>
      <c r="R87" s="78"/>
      <c r="S87" s="16"/>
      <c r="T87" s="51"/>
      <c r="U87" s="45"/>
      <c r="V87" s="54"/>
      <c r="W87" s="44"/>
      <c r="X87" s="53"/>
      <c r="Y87" s="76"/>
      <c r="Z87" s="457"/>
      <c r="AA87" s="458"/>
    </row>
    <row r="88" spans="1:27" ht="27" thickBot="1" x14ac:dyDescent="0.45">
      <c r="A88" s="41"/>
      <c r="B88" s="430"/>
      <c r="C88" s="376" t="s">
        <v>143</v>
      </c>
      <c r="D88" s="377">
        <v>165</v>
      </c>
      <c r="E88" s="378">
        <v>1</v>
      </c>
      <c r="F88" s="379">
        <f>D88*E88</f>
        <v>165</v>
      </c>
      <c r="G88" s="446"/>
      <c r="H88" s="58"/>
      <c r="I88" s="439"/>
      <c r="J88" s="434"/>
      <c r="K88" s="60"/>
      <c r="L88" s="61"/>
      <c r="M88" s="132"/>
      <c r="N88" s="132"/>
      <c r="O88" s="79"/>
      <c r="P88" s="80"/>
      <c r="Q88" s="81"/>
      <c r="R88" s="82"/>
      <c r="S88" s="16"/>
      <c r="T88" s="51"/>
      <c r="U88" s="43"/>
      <c r="V88" s="52"/>
      <c r="W88" s="44"/>
      <c r="X88" s="55"/>
      <c r="Y88" s="75"/>
      <c r="Z88" s="457"/>
      <c r="AA88" s="458"/>
    </row>
    <row r="89" spans="1:27" ht="27" thickBot="1" x14ac:dyDescent="0.45">
      <c r="A89" s="41"/>
      <c r="B89" s="364"/>
      <c r="C89" s="442" t="s">
        <v>66</v>
      </c>
      <c r="D89" s="443"/>
      <c r="E89" s="452">
        <f>SUM(F85:F88)</f>
        <v>930</v>
      </c>
      <c r="F89" s="453"/>
      <c r="G89" s="446"/>
      <c r="H89" s="58"/>
      <c r="I89" s="439"/>
      <c r="J89" s="454"/>
      <c r="K89" s="350"/>
      <c r="L89" s="61"/>
      <c r="M89" s="132"/>
      <c r="N89" s="132"/>
      <c r="O89" s="79"/>
      <c r="P89" s="83"/>
      <c r="Q89" s="81"/>
      <c r="R89" s="84"/>
      <c r="S89" s="16"/>
      <c r="T89" s="51"/>
      <c r="U89" s="45"/>
      <c r="V89" s="52"/>
      <c r="W89" s="44"/>
      <c r="X89" s="55"/>
      <c r="Y89" s="42"/>
      <c r="Z89" s="457"/>
      <c r="AA89" s="458"/>
    </row>
    <row r="90" spans="1:27" ht="27" customHeight="1" thickBot="1" x14ac:dyDescent="0.45">
      <c r="A90" s="41"/>
      <c r="B90" s="429"/>
      <c r="C90" s="380" t="s">
        <v>115</v>
      </c>
      <c r="D90" s="381">
        <v>150</v>
      </c>
      <c r="E90" s="382">
        <v>1</v>
      </c>
      <c r="F90" s="383">
        <f t="shared" ref="F90:F96" si="4">D90*E90</f>
        <v>150</v>
      </c>
      <c r="G90" s="446"/>
      <c r="H90" s="58" t="s">
        <v>15</v>
      </c>
      <c r="I90" s="459"/>
      <c r="J90" s="460"/>
      <c r="K90" s="103"/>
      <c r="L90" s="104"/>
      <c r="M90" s="132"/>
      <c r="N90" s="132"/>
      <c r="O90" s="79"/>
      <c r="P90" s="83"/>
      <c r="Q90" s="81"/>
      <c r="R90" s="84"/>
      <c r="S90" s="16"/>
      <c r="T90" s="51"/>
      <c r="U90" s="46"/>
      <c r="V90" s="52"/>
      <c r="W90" s="44"/>
      <c r="X90" s="55"/>
      <c r="Y90" s="42"/>
      <c r="Z90" s="457"/>
      <c r="AA90" s="458"/>
    </row>
    <row r="91" spans="1:27" ht="27" thickBot="1" x14ac:dyDescent="0.45">
      <c r="A91" s="41"/>
      <c r="B91" s="430"/>
      <c r="C91" s="384" t="s">
        <v>81</v>
      </c>
      <c r="D91" s="385">
        <v>90</v>
      </c>
      <c r="E91" s="386">
        <v>2</v>
      </c>
      <c r="F91" s="383">
        <f t="shared" si="4"/>
        <v>180</v>
      </c>
      <c r="G91" s="446"/>
      <c r="H91" s="58"/>
      <c r="I91" s="461" t="s">
        <v>38</v>
      </c>
      <c r="J91" s="424"/>
      <c r="K91" s="424"/>
      <c r="L91" s="327">
        <f>SUM(L74:L90)</f>
        <v>0</v>
      </c>
      <c r="M91" s="132"/>
      <c r="N91" s="132"/>
      <c r="O91" s="85"/>
      <c r="P91" s="86"/>
      <c r="Q91" s="87"/>
      <c r="R91" s="88"/>
      <c r="S91" s="16"/>
      <c r="T91" s="51"/>
      <c r="U91" s="45"/>
      <c r="V91" s="52"/>
      <c r="W91" s="44"/>
      <c r="X91" s="55"/>
      <c r="Y91" s="75"/>
      <c r="Z91" s="10"/>
    </row>
    <row r="92" spans="1:27" ht="27" thickBot="1" x14ac:dyDescent="0.45">
      <c r="A92" s="41"/>
      <c r="B92" s="430"/>
      <c r="C92" s="384" t="s">
        <v>82</v>
      </c>
      <c r="D92" s="385">
        <v>90</v>
      </c>
      <c r="E92" s="386">
        <v>1</v>
      </c>
      <c r="F92" s="383">
        <f t="shared" si="4"/>
        <v>90</v>
      </c>
      <c r="G92" s="446"/>
      <c r="H92" s="58"/>
      <c r="I92" s="41"/>
      <c r="J92" s="41"/>
      <c r="K92" s="41"/>
      <c r="L92" s="41"/>
      <c r="M92" s="132"/>
      <c r="N92" s="132"/>
      <c r="O92" s="85"/>
      <c r="P92" s="86"/>
      <c r="Q92" s="87"/>
      <c r="R92" s="88"/>
      <c r="S92" s="16"/>
      <c r="T92" s="16"/>
      <c r="U92" s="16"/>
      <c r="V92" s="16"/>
      <c r="W92" s="11"/>
      <c r="X92" s="11"/>
      <c r="Y92" s="75"/>
    </row>
    <row r="93" spans="1:27" ht="30" customHeight="1" thickBot="1" x14ac:dyDescent="0.5">
      <c r="A93" s="41"/>
      <c r="B93" s="364"/>
      <c r="C93" s="462" t="s">
        <v>65</v>
      </c>
      <c r="D93" s="463"/>
      <c r="E93" s="444">
        <f>F90+F91+F92</f>
        <v>420</v>
      </c>
      <c r="F93" s="445"/>
      <c r="G93" s="446"/>
      <c r="H93" s="58"/>
      <c r="I93" s="435" t="s">
        <v>107</v>
      </c>
      <c r="J93" s="436"/>
      <c r="K93" s="436"/>
      <c r="L93" s="437"/>
      <c r="M93" s="132"/>
      <c r="N93" s="132"/>
      <c r="O93" s="89"/>
      <c r="P93" s="89"/>
      <c r="Q93" s="90"/>
      <c r="R93" s="90"/>
      <c r="S93" s="16"/>
      <c r="T93" s="16"/>
      <c r="U93" s="16"/>
      <c r="V93" s="16"/>
      <c r="W93" s="11"/>
      <c r="X93" s="16"/>
      <c r="Y93" s="48"/>
      <c r="Z93" s="438"/>
      <c r="AA93" s="438"/>
    </row>
    <row r="94" spans="1:27" ht="28.5" x14ac:dyDescent="0.45">
      <c r="A94" s="41"/>
      <c r="B94" s="429"/>
      <c r="C94" s="387" t="s">
        <v>106</v>
      </c>
      <c r="D94" s="308">
        <v>150</v>
      </c>
      <c r="E94" s="309">
        <v>1</v>
      </c>
      <c r="F94" s="388">
        <f t="shared" si="4"/>
        <v>150</v>
      </c>
      <c r="G94" s="446"/>
      <c r="H94" s="58"/>
      <c r="I94" s="440" t="s">
        <v>140</v>
      </c>
      <c r="J94" s="441"/>
      <c r="K94" s="296"/>
      <c r="L94" s="297">
        <v>225</v>
      </c>
      <c r="M94" s="131"/>
      <c r="N94" s="131"/>
      <c r="O94" s="38"/>
      <c r="P94" s="38" t="s">
        <v>135</v>
      </c>
      <c r="Q94" s="157"/>
      <c r="R94" s="157"/>
      <c r="S94" s="16"/>
      <c r="T94" s="49"/>
      <c r="U94" s="49"/>
      <c r="V94" s="40"/>
      <c r="W94" s="50"/>
      <c r="X94" s="50"/>
      <c r="Y94" s="48"/>
      <c r="Z94" s="48"/>
      <c r="AA94" s="48"/>
    </row>
    <row r="95" spans="1:27" ht="28.5" x14ac:dyDescent="0.45">
      <c r="A95" s="41"/>
      <c r="B95" s="430"/>
      <c r="C95" s="389" t="s">
        <v>16</v>
      </c>
      <c r="D95" s="390">
        <v>110</v>
      </c>
      <c r="E95" s="391">
        <v>3</v>
      </c>
      <c r="F95" s="392">
        <f t="shared" si="4"/>
        <v>330</v>
      </c>
      <c r="G95" s="446"/>
      <c r="H95" s="58"/>
      <c r="I95" s="439" t="s">
        <v>141</v>
      </c>
      <c r="J95" s="434"/>
      <c r="K95" s="298"/>
      <c r="L95" s="299"/>
      <c r="M95" s="131"/>
      <c r="N95" s="131"/>
      <c r="O95" s="38"/>
      <c r="P95" s="38"/>
      <c r="Q95" s="157"/>
      <c r="R95" s="157"/>
      <c r="S95" s="16"/>
      <c r="T95" s="49"/>
      <c r="U95" s="49"/>
      <c r="V95" s="40"/>
      <c r="W95" s="50"/>
      <c r="X95" s="50"/>
      <c r="Y95" s="48"/>
      <c r="Z95" s="48"/>
      <c r="AA95" s="48"/>
    </row>
    <row r="96" spans="1:27" ht="27" thickBot="1" x14ac:dyDescent="0.45">
      <c r="A96" s="41"/>
      <c r="B96" s="430"/>
      <c r="C96" s="393" t="s">
        <v>42</v>
      </c>
      <c r="D96" s="310">
        <v>75</v>
      </c>
      <c r="E96" s="311">
        <v>1</v>
      </c>
      <c r="F96" s="394">
        <f t="shared" si="4"/>
        <v>75</v>
      </c>
      <c r="G96" s="446"/>
      <c r="H96" s="58"/>
      <c r="I96" s="427"/>
      <c r="J96" s="428"/>
      <c r="K96" s="60"/>
      <c r="L96" s="61"/>
      <c r="M96" s="131"/>
      <c r="N96" s="131"/>
      <c r="O96" s="16"/>
      <c r="P96" s="31"/>
      <c r="Q96" s="11"/>
      <c r="R96" s="31"/>
      <c r="S96" s="16"/>
      <c r="T96" s="51"/>
      <c r="U96" s="43"/>
      <c r="V96" s="52"/>
      <c r="W96" s="44"/>
      <c r="X96" s="53"/>
      <c r="Y96" s="41"/>
      <c r="Z96" s="42"/>
      <c r="AA96" s="41"/>
    </row>
    <row r="97" spans="1:27" ht="27" thickBot="1" x14ac:dyDescent="0.45">
      <c r="A97" s="41"/>
      <c r="B97" s="364"/>
      <c r="C97" s="442" t="s">
        <v>67</v>
      </c>
      <c r="D97" s="443"/>
      <c r="E97" s="444">
        <f>F94+F95+F96</f>
        <v>555</v>
      </c>
      <c r="F97" s="445"/>
      <c r="G97" s="446"/>
      <c r="H97" s="58"/>
      <c r="I97" s="427"/>
      <c r="J97" s="428"/>
      <c r="K97" s="348"/>
      <c r="L97" s="61"/>
      <c r="M97" s="133"/>
      <c r="N97" s="133"/>
      <c r="O97" s="16"/>
      <c r="P97" s="31"/>
      <c r="Q97" s="11"/>
      <c r="R97" s="31"/>
      <c r="S97" s="16"/>
      <c r="T97" s="51"/>
      <c r="U97" s="43"/>
      <c r="V97" s="52"/>
      <c r="W97" s="44"/>
      <c r="X97" s="53"/>
      <c r="Y97" s="41"/>
      <c r="Z97" s="41"/>
      <c r="AA97" s="41"/>
    </row>
    <row r="98" spans="1:27" ht="26.1" customHeight="1" x14ac:dyDescent="0.4">
      <c r="A98" s="41"/>
      <c r="B98" s="447"/>
      <c r="C98" s="395" t="s">
        <v>144</v>
      </c>
      <c r="D98" s="306">
        <v>90</v>
      </c>
      <c r="E98" s="307">
        <v>1</v>
      </c>
      <c r="F98" s="396">
        <f>D98*E98</f>
        <v>90</v>
      </c>
      <c r="G98" s="446"/>
      <c r="H98" s="58"/>
      <c r="I98" s="427"/>
      <c r="J98" s="428"/>
      <c r="K98" s="348"/>
      <c r="L98" s="61"/>
      <c r="M98" s="131"/>
      <c r="N98" s="131"/>
      <c r="O98" s="16"/>
      <c r="P98" s="31"/>
      <c r="Q98" s="11"/>
      <c r="R98" s="31"/>
      <c r="S98" s="16"/>
      <c r="T98" s="51"/>
      <c r="U98" s="45"/>
      <c r="V98" s="54"/>
      <c r="W98" s="44"/>
      <c r="X98" s="53"/>
      <c r="Y98" s="41"/>
      <c r="Z98" s="417"/>
      <c r="AA98" s="418"/>
    </row>
    <row r="99" spans="1:27" x14ac:dyDescent="0.4">
      <c r="A99" s="41"/>
      <c r="B99" s="448"/>
      <c r="C99" s="397" t="s">
        <v>145</v>
      </c>
      <c r="D99" s="398">
        <v>90</v>
      </c>
      <c r="E99" s="399">
        <v>1</v>
      </c>
      <c r="F99" s="400">
        <f>D99*E99</f>
        <v>90</v>
      </c>
      <c r="G99" s="446"/>
      <c r="H99" s="58"/>
      <c r="I99" s="439"/>
      <c r="J99" s="434"/>
      <c r="K99" s="348"/>
      <c r="L99" s="61"/>
      <c r="M99" s="131"/>
      <c r="N99" s="131"/>
      <c r="O99" s="16"/>
      <c r="P99" s="31"/>
      <c r="Q99" s="11"/>
      <c r="R99" s="31"/>
      <c r="S99" s="16"/>
      <c r="T99" s="51"/>
      <c r="U99" s="45"/>
      <c r="V99" s="54"/>
      <c r="W99" s="44"/>
      <c r="X99" s="53"/>
      <c r="Y99" s="41"/>
      <c r="Z99" s="417"/>
      <c r="AA99" s="418"/>
    </row>
    <row r="100" spans="1:27" ht="27" thickBot="1" x14ac:dyDescent="0.45">
      <c r="A100" s="41"/>
      <c r="B100" s="448"/>
      <c r="C100" s="397" t="s">
        <v>70</v>
      </c>
      <c r="D100" s="398">
        <v>90</v>
      </c>
      <c r="E100" s="399">
        <v>1</v>
      </c>
      <c r="F100" s="400">
        <f>D100*E100</f>
        <v>90</v>
      </c>
      <c r="G100" s="446"/>
      <c r="H100" s="58"/>
      <c r="I100" s="433"/>
      <c r="J100" s="434"/>
      <c r="K100" s="294"/>
      <c r="L100" s="295"/>
      <c r="M100" s="131"/>
      <c r="N100" s="131"/>
      <c r="O100" s="16"/>
      <c r="P100" s="31"/>
      <c r="Q100" s="11"/>
      <c r="R100" s="31"/>
      <c r="S100" s="16"/>
      <c r="T100" s="51"/>
      <c r="U100" s="45"/>
      <c r="V100" s="54"/>
      <c r="W100" s="44"/>
      <c r="X100" s="53"/>
      <c r="Y100" s="41"/>
      <c r="Z100" s="417"/>
      <c r="AA100" s="418"/>
    </row>
    <row r="101" spans="1:27" ht="27" thickBot="1" x14ac:dyDescent="0.45">
      <c r="A101" s="41"/>
      <c r="B101" s="364"/>
      <c r="C101" s="449" t="s">
        <v>68</v>
      </c>
      <c r="D101" s="450"/>
      <c r="E101" s="444">
        <f>SUM(F98:F100)</f>
        <v>270</v>
      </c>
      <c r="F101" s="445"/>
      <c r="G101" s="446"/>
      <c r="H101" s="58"/>
      <c r="I101" s="433"/>
      <c r="J101" s="434"/>
      <c r="K101" s="115"/>
      <c r="L101" s="116"/>
      <c r="M101" s="131"/>
      <c r="N101" s="131"/>
      <c r="O101" s="16"/>
      <c r="P101" s="31"/>
      <c r="Q101" s="11"/>
      <c r="R101" s="31"/>
      <c r="S101" s="16"/>
      <c r="T101" s="51"/>
      <c r="U101" s="45"/>
      <c r="V101" s="54"/>
      <c r="W101" s="44"/>
      <c r="X101" s="53"/>
      <c r="Y101" s="41"/>
      <c r="Z101" s="417"/>
      <c r="AA101" s="418"/>
    </row>
    <row r="102" spans="1:27" ht="26.1" customHeight="1" x14ac:dyDescent="0.4">
      <c r="A102" s="41"/>
      <c r="B102" s="429"/>
      <c r="C102" s="401" t="s">
        <v>17</v>
      </c>
      <c r="D102" s="402">
        <v>25</v>
      </c>
      <c r="E102" s="403">
        <v>10</v>
      </c>
      <c r="F102" s="404">
        <f>D102*E102</f>
        <v>250</v>
      </c>
      <c r="G102" s="58"/>
      <c r="H102" s="58"/>
      <c r="I102" s="431"/>
      <c r="J102" s="432"/>
      <c r="K102" s="117"/>
      <c r="L102" s="118"/>
      <c r="M102" s="134"/>
      <c r="N102" s="134"/>
      <c r="O102" s="16"/>
      <c r="P102" s="31"/>
      <c r="Q102" s="11"/>
      <c r="R102" s="31"/>
      <c r="S102" s="16"/>
      <c r="T102" s="51"/>
      <c r="U102" s="45"/>
      <c r="V102" s="52"/>
      <c r="W102" s="44"/>
      <c r="X102" s="55"/>
      <c r="Y102" s="41"/>
      <c r="Z102" s="41"/>
      <c r="AA102" s="41"/>
    </row>
    <row r="103" spans="1:27" x14ac:dyDescent="0.4">
      <c r="A103" s="41"/>
      <c r="B103" s="430"/>
      <c r="C103" s="405" t="s">
        <v>57</v>
      </c>
      <c r="D103" s="406">
        <v>80</v>
      </c>
      <c r="E103" s="407">
        <v>3</v>
      </c>
      <c r="F103" s="408">
        <f>D103*E103</f>
        <v>240</v>
      </c>
      <c r="G103" s="58"/>
      <c r="H103" s="58"/>
      <c r="I103" s="431"/>
      <c r="J103" s="432"/>
      <c r="K103" s="117"/>
      <c r="L103" s="118"/>
      <c r="M103" s="134"/>
      <c r="N103" s="134"/>
      <c r="O103" s="16"/>
      <c r="P103" s="31"/>
      <c r="Q103" s="11"/>
      <c r="R103" s="31"/>
      <c r="S103" s="16"/>
      <c r="T103" s="51"/>
      <c r="U103" s="45"/>
      <c r="V103" s="52"/>
      <c r="W103" s="44"/>
      <c r="X103" s="55"/>
      <c r="Y103" s="41"/>
      <c r="Z103" s="41"/>
      <c r="AA103" s="41"/>
    </row>
    <row r="104" spans="1:27" ht="27" thickBot="1" x14ac:dyDescent="0.45">
      <c r="A104" s="41"/>
      <c r="B104" s="430"/>
      <c r="C104" s="405" t="s">
        <v>18</v>
      </c>
      <c r="D104" s="406">
        <v>75</v>
      </c>
      <c r="E104" s="407">
        <v>2</v>
      </c>
      <c r="F104" s="408">
        <f>D104*E104</f>
        <v>150</v>
      </c>
      <c r="G104" s="58"/>
      <c r="H104" s="58"/>
      <c r="I104" s="431"/>
      <c r="J104" s="432"/>
      <c r="K104" s="117"/>
      <c r="L104" s="118"/>
      <c r="M104" s="134"/>
      <c r="N104" s="134"/>
      <c r="O104" s="16"/>
      <c r="P104" s="31"/>
      <c r="Q104" s="11"/>
      <c r="R104" s="31"/>
      <c r="S104" s="16"/>
      <c r="T104" s="51"/>
      <c r="U104" s="45"/>
      <c r="V104" s="52"/>
      <c r="W104" s="44"/>
      <c r="X104" s="55"/>
      <c r="Y104" s="41"/>
      <c r="Z104" s="41"/>
      <c r="AA104" s="41"/>
    </row>
    <row r="105" spans="1:27" ht="29.25" thickBot="1" x14ac:dyDescent="0.5">
      <c r="A105" s="41"/>
      <c r="B105" s="41"/>
      <c r="C105" s="421" t="s">
        <v>39</v>
      </c>
      <c r="D105" s="422"/>
      <c r="E105" s="422"/>
      <c r="F105" s="328">
        <f>SUM(E89+E93+E97+E101+F102+F103+F104)</f>
        <v>2815</v>
      </c>
      <c r="G105" s="137"/>
      <c r="H105" s="58"/>
      <c r="I105" s="423" t="s">
        <v>40</v>
      </c>
      <c r="J105" s="424"/>
      <c r="K105" s="425">
        <f>SUM(L94:L104)</f>
        <v>225</v>
      </c>
      <c r="L105" s="426"/>
      <c r="M105" s="41"/>
      <c r="N105" s="41"/>
      <c r="O105" s="16"/>
      <c r="P105" s="31"/>
      <c r="Q105" s="11"/>
      <c r="R105" s="31"/>
      <c r="S105" s="16"/>
      <c r="T105" s="49"/>
      <c r="U105" s="49"/>
      <c r="V105" s="40"/>
      <c r="W105" s="50"/>
      <c r="X105" s="50"/>
      <c r="Y105" s="48"/>
      <c r="Z105" s="48"/>
      <c r="AA105" s="48"/>
    </row>
    <row r="106" spans="1:27" x14ac:dyDescent="0.4">
      <c r="A106" s="41"/>
      <c r="B106" s="41"/>
      <c r="C106" s="56"/>
      <c r="D106" s="62"/>
      <c r="E106" s="63"/>
      <c r="F106" s="64"/>
      <c r="G106" s="137"/>
      <c r="H106" s="58"/>
      <c r="I106" s="41"/>
      <c r="J106" s="41"/>
      <c r="K106" s="41"/>
      <c r="L106" s="41"/>
      <c r="M106" s="41"/>
      <c r="N106" s="41"/>
      <c r="O106" s="16"/>
      <c r="P106" s="31"/>
      <c r="Q106" s="11"/>
      <c r="R106" s="31"/>
      <c r="S106" s="16"/>
      <c r="T106" s="51"/>
      <c r="U106" s="43"/>
      <c r="V106" s="52"/>
      <c r="W106" s="44"/>
      <c r="X106" s="53"/>
      <c r="Y106" s="41"/>
      <c r="Z106" s="42"/>
      <c r="AA106" s="41"/>
    </row>
    <row r="107" spans="1:27" x14ac:dyDescent="0.4">
      <c r="A107" s="41"/>
      <c r="B107" s="41"/>
      <c r="C107" s="56"/>
      <c r="D107" s="65"/>
      <c r="E107" s="66"/>
      <c r="F107" s="67"/>
      <c r="G107" s="70"/>
      <c r="H107" s="58"/>
      <c r="I107" s="138"/>
      <c r="J107" s="138"/>
      <c r="K107" s="138"/>
      <c r="L107" s="138"/>
      <c r="M107" s="41"/>
      <c r="N107" s="41"/>
      <c r="O107" s="16"/>
      <c r="P107" s="31"/>
      <c r="Q107" s="11"/>
      <c r="R107" s="31"/>
      <c r="S107" s="16"/>
      <c r="T107" s="51"/>
      <c r="U107" s="43"/>
      <c r="V107" s="52"/>
      <c r="W107" s="44"/>
      <c r="X107" s="53"/>
      <c r="Y107" s="41"/>
      <c r="Z107" s="41"/>
      <c r="AA107" s="41"/>
    </row>
    <row r="108" spans="1:27" x14ac:dyDescent="0.4">
      <c r="A108" s="41"/>
      <c r="B108" s="41"/>
      <c r="C108" s="56"/>
      <c r="D108" s="68"/>
      <c r="E108" s="66"/>
      <c r="F108" s="67"/>
      <c r="G108" s="139"/>
      <c r="H108" s="58"/>
      <c r="I108" s="58"/>
      <c r="J108" s="58"/>
      <c r="K108" s="58"/>
      <c r="L108" s="58"/>
      <c r="M108" s="41"/>
      <c r="N108" s="41"/>
      <c r="O108" s="16"/>
      <c r="P108" s="31"/>
      <c r="Q108" s="11"/>
      <c r="R108" s="31"/>
      <c r="S108" s="16"/>
      <c r="T108" s="51"/>
      <c r="U108" s="45"/>
      <c r="V108" s="54"/>
      <c r="W108" s="44"/>
      <c r="X108" s="53"/>
      <c r="Y108" s="41"/>
      <c r="Z108" s="417"/>
      <c r="AA108" s="418"/>
    </row>
    <row r="109" spans="1:27" x14ac:dyDescent="0.4">
      <c r="A109" s="41"/>
      <c r="B109" s="41"/>
      <c r="C109" s="56"/>
      <c r="D109" s="69"/>
      <c r="E109" s="63"/>
      <c r="F109" s="64"/>
      <c r="G109" s="139"/>
      <c r="H109" s="58"/>
      <c r="I109" s="57"/>
      <c r="J109" s="58"/>
      <c r="K109" s="58"/>
      <c r="L109" s="57"/>
      <c r="M109" s="41"/>
      <c r="N109" s="41"/>
      <c r="O109" s="16"/>
      <c r="P109" s="31"/>
      <c r="Q109" s="11"/>
      <c r="R109" s="31"/>
      <c r="S109" s="41"/>
      <c r="T109" s="51"/>
      <c r="U109" s="43"/>
      <c r="V109" s="52"/>
      <c r="W109" s="44"/>
      <c r="X109" s="55"/>
      <c r="Y109" s="41"/>
      <c r="Z109" s="417"/>
      <c r="AA109" s="418"/>
    </row>
    <row r="110" spans="1:27" x14ac:dyDescent="0.4">
      <c r="A110" s="41"/>
      <c r="B110" s="41"/>
      <c r="C110" s="56"/>
      <c r="D110" s="70"/>
      <c r="E110" s="63"/>
      <c r="F110" s="71"/>
      <c r="G110" s="58"/>
      <c r="H110" s="58"/>
      <c r="I110" s="140"/>
      <c r="J110" s="58"/>
      <c r="K110" s="141"/>
      <c r="L110" s="58"/>
      <c r="M110" s="41"/>
      <c r="N110" s="41"/>
      <c r="O110" s="16"/>
      <c r="P110" s="31"/>
      <c r="Q110" s="11"/>
      <c r="R110" s="31"/>
      <c r="S110" s="41"/>
      <c r="T110" s="51"/>
      <c r="U110" s="45"/>
      <c r="V110" s="52"/>
      <c r="W110" s="44"/>
      <c r="X110" s="55"/>
      <c r="Y110" s="42"/>
      <c r="Z110" s="417"/>
      <c r="AA110" s="418"/>
    </row>
    <row r="111" spans="1:27" ht="34.5" thickBot="1" x14ac:dyDescent="0.55000000000000004">
      <c r="A111" s="41"/>
      <c r="B111" s="41"/>
      <c r="C111" s="419"/>
      <c r="D111" s="419"/>
      <c r="E111" s="72"/>
      <c r="F111" s="73"/>
      <c r="G111" s="58"/>
      <c r="H111" s="58"/>
      <c r="I111" s="58"/>
      <c r="J111" s="58"/>
      <c r="K111" s="141"/>
      <c r="L111" s="58"/>
      <c r="M111" s="41"/>
      <c r="N111" s="41"/>
      <c r="O111" s="16"/>
      <c r="P111" s="31"/>
      <c r="Q111" s="11"/>
      <c r="R111" s="31"/>
      <c r="S111" s="41"/>
      <c r="T111" s="51"/>
      <c r="U111" s="46"/>
      <c r="V111" s="52"/>
      <c r="W111" s="44"/>
      <c r="X111" s="55"/>
      <c r="Y111" s="42"/>
      <c r="Z111" s="417"/>
      <c r="AA111" s="418"/>
    </row>
    <row r="112" spans="1:27" ht="29.25" thickBot="1" x14ac:dyDescent="0.5">
      <c r="A112" s="41"/>
      <c r="B112" s="41"/>
      <c r="C112" s="56"/>
      <c r="D112" s="142"/>
      <c r="E112" s="99"/>
      <c r="F112" s="70"/>
      <c r="G112" s="58"/>
      <c r="H112" s="58"/>
      <c r="I112" s="58"/>
      <c r="J112" s="58"/>
      <c r="K112" s="141"/>
      <c r="L112" s="58"/>
      <c r="M112" s="41"/>
      <c r="N112" s="41"/>
      <c r="O112" s="91"/>
      <c r="P112" s="92"/>
      <c r="Q112" s="93"/>
      <c r="R112" s="90"/>
      <c r="S112" s="41"/>
      <c r="T112" s="51"/>
      <c r="U112" s="45"/>
      <c r="V112" s="52"/>
      <c r="W112" s="44"/>
      <c r="X112" s="55"/>
      <c r="Y112" s="41"/>
      <c r="Z112" s="41"/>
      <c r="AA112" s="41"/>
    </row>
    <row r="113" spans="1:27" x14ac:dyDescent="0.4">
      <c r="A113" s="41"/>
      <c r="B113" s="41"/>
      <c r="C113" s="58"/>
      <c r="D113" s="58"/>
      <c r="E113" s="58"/>
      <c r="F113" s="58"/>
      <c r="G113" s="58"/>
      <c r="H113" s="58"/>
      <c r="I113" s="58"/>
      <c r="J113" s="58"/>
      <c r="K113" s="141"/>
      <c r="L113" s="58"/>
      <c r="M113" s="41"/>
      <c r="N113" s="41"/>
      <c r="O113" s="41"/>
      <c r="P113" s="41"/>
      <c r="Q113" s="41"/>
      <c r="R113" s="58"/>
      <c r="S113" s="41"/>
      <c r="T113" s="41"/>
      <c r="U113" s="41"/>
      <c r="V113" s="41"/>
      <c r="W113" s="47"/>
      <c r="X113" s="41"/>
      <c r="Y113" s="41"/>
      <c r="Z113" s="41"/>
      <c r="AA113" s="41"/>
    </row>
    <row r="114" spans="1:27" x14ac:dyDescent="0.4">
      <c r="A114" s="41"/>
      <c r="B114" s="41"/>
      <c r="C114" s="58"/>
      <c r="D114" s="58"/>
      <c r="E114" s="58"/>
      <c r="F114" s="58"/>
      <c r="G114" s="58"/>
      <c r="H114" s="58"/>
      <c r="I114" s="58"/>
      <c r="J114" s="58"/>
      <c r="K114" s="141"/>
      <c r="L114" s="58"/>
      <c r="M114" s="41"/>
      <c r="N114" s="41"/>
      <c r="O114" s="143"/>
      <c r="P114" s="41"/>
      <c r="Q114" s="144"/>
      <c r="R114" s="145"/>
      <c r="S114" s="41"/>
      <c r="T114" s="41"/>
      <c r="U114" s="41"/>
      <c r="V114" s="41"/>
      <c r="W114" s="47"/>
      <c r="X114" s="41"/>
    </row>
    <row r="115" spans="1:27" x14ac:dyDescent="0.4">
      <c r="A115" s="41"/>
      <c r="B115" s="41"/>
      <c r="C115" s="58"/>
      <c r="D115" s="58"/>
      <c r="E115" s="58"/>
      <c r="F115" s="58"/>
      <c r="G115" s="58"/>
      <c r="H115" s="58"/>
      <c r="I115" s="140"/>
      <c r="J115" s="58"/>
      <c r="K115" s="141"/>
      <c r="L115" s="58"/>
      <c r="M115" s="41"/>
      <c r="N115" s="41"/>
      <c r="O115" s="143"/>
      <c r="P115" s="41"/>
      <c r="Q115" s="146"/>
      <c r="R115" s="147"/>
      <c r="S115" s="41"/>
      <c r="T115" s="41"/>
      <c r="U115" s="41"/>
      <c r="V115" s="41"/>
      <c r="W115" s="47"/>
      <c r="X115" s="41"/>
    </row>
    <row r="116" spans="1:27" x14ac:dyDescent="0.4">
      <c r="A116" s="41"/>
      <c r="B116" s="41"/>
      <c r="C116" s="58"/>
      <c r="D116" s="58"/>
      <c r="E116" s="58"/>
      <c r="F116" s="58"/>
      <c r="G116" s="58"/>
      <c r="H116" s="58"/>
      <c r="I116" s="58"/>
      <c r="J116" s="58"/>
      <c r="K116" s="141"/>
      <c r="L116" s="58"/>
      <c r="M116" s="41"/>
      <c r="N116" s="41"/>
      <c r="O116" s="143"/>
      <c r="P116" s="148"/>
      <c r="Q116" s="41"/>
      <c r="R116" s="149"/>
      <c r="S116" s="41"/>
      <c r="T116" s="41"/>
      <c r="U116" s="41"/>
      <c r="V116" s="41"/>
      <c r="W116" s="47"/>
      <c r="X116" s="41"/>
    </row>
    <row r="117" spans="1:27" x14ac:dyDescent="0.4">
      <c r="A117" s="41"/>
      <c r="B117" s="41"/>
      <c r="C117" s="58"/>
      <c r="D117" s="58"/>
      <c r="E117" s="58"/>
      <c r="F117" s="58"/>
      <c r="G117" s="58"/>
      <c r="H117" s="58"/>
      <c r="I117" s="57"/>
      <c r="J117" s="150"/>
      <c r="K117" s="141"/>
      <c r="L117" s="58"/>
      <c r="M117" s="41"/>
      <c r="N117" s="41"/>
      <c r="O117" s="41"/>
      <c r="P117" s="41"/>
      <c r="Q117" s="151"/>
      <c r="R117" s="151"/>
      <c r="S117" s="41"/>
      <c r="T117" s="41"/>
      <c r="U117" s="41"/>
      <c r="V117" s="41"/>
      <c r="W117" s="47"/>
      <c r="X117" s="41"/>
    </row>
    <row r="118" spans="1:27" x14ac:dyDescent="0.4">
      <c r="A118" s="41"/>
      <c r="B118" s="41"/>
      <c r="C118" s="58"/>
      <c r="D118" s="58"/>
      <c r="E118" s="58"/>
      <c r="F118" s="58"/>
      <c r="G118" s="58"/>
      <c r="H118" s="58"/>
      <c r="I118" s="58"/>
      <c r="J118" s="58"/>
      <c r="K118" s="141"/>
      <c r="L118" s="58"/>
      <c r="M118" s="41"/>
      <c r="N118" s="41"/>
      <c r="O118" s="41"/>
      <c r="P118" s="420"/>
      <c r="Q118" s="152"/>
      <c r="R118" s="151"/>
      <c r="S118" s="41"/>
      <c r="T118" s="41"/>
      <c r="U118" s="41"/>
      <c r="V118" s="41"/>
      <c r="W118" s="47"/>
      <c r="X118" s="41"/>
    </row>
    <row r="119" spans="1:27" x14ac:dyDescent="0.4">
      <c r="A119" s="41"/>
      <c r="B119" s="41"/>
      <c r="C119" s="58"/>
      <c r="D119" s="58"/>
      <c r="E119" s="58"/>
      <c r="F119" s="58"/>
      <c r="G119" s="58"/>
      <c r="H119" s="58"/>
      <c r="I119" s="153"/>
      <c r="J119" s="154"/>
      <c r="K119" s="141"/>
      <c r="L119" s="58"/>
      <c r="M119" s="41"/>
      <c r="N119" s="41"/>
      <c r="O119" s="41"/>
      <c r="P119" s="420"/>
      <c r="Q119" s="151"/>
      <c r="R119" s="151"/>
      <c r="S119" s="41"/>
      <c r="T119" s="41"/>
      <c r="U119" s="41"/>
      <c r="V119" s="41"/>
      <c r="W119" s="47"/>
      <c r="X119" s="41"/>
    </row>
    <row r="120" spans="1:27" x14ac:dyDescent="0.4">
      <c r="A120" s="41"/>
      <c r="B120" s="41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41"/>
      <c r="N120" s="41"/>
      <c r="O120" s="41"/>
      <c r="P120" s="206"/>
      <c r="Q120" s="151"/>
      <c r="R120" s="151"/>
      <c r="S120" s="41"/>
      <c r="T120" s="41"/>
      <c r="U120" s="41"/>
      <c r="V120" s="41"/>
      <c r="W120" s="47"/>
      <c r="X120" s="41"/>
    </row>
    <row r="121" spans="1:27" x14ac:dyDescent="0.4">
      <c r="A121" s="41"/>
      <c r="B121" s="41"/>
      <c r="C121" s="58"/>
      <c r="D121" s="58"/>
      <c r="E121" s="58"/>
      <c r="F121" s="58"/>
      <c r="G121" s="58"/>
      <c r="H121" s="58"/>
      <c r="I121" s="138"/>
      <c r="J121" s="155"/>
      <c r="K121" s="58"/>
      <c r="L121" s="58"/>
      <c r="M121" s="41"/>
      <c r="N121" s="41"/>
      <c r="O121" s="41"/>
      <c r="P121" s="151"/>
      <c r="Q121" s="156"/>
      <c r="R121" s="41"/>
      <c r="S121" s="41"/>
      <c r="T121" s="41"/>
      <c r="U121" s="41"/>
      <c r="V121" s="41"/>
      <c r="W121" s="47"/>
      <c r="X121" s="41"/>
    </row>
    <row r="122" spans="1:27" x14ac:dyDescent="0.4">
      <c r="A122" s="41"/>
      <c r="B122" s="41"/>
      <c r="C122" s="58"/>
      <c r="D122" s="58"/>
      <c r="E122" s="58"/>
      <c r="F122" s="58"/>
      <c r="G122" s="58"/>
      <c r="H122" s="58"/>
      <c r="I122" s="138"/>
      <c r="J122" s="155"/>
      <c r="K122" s="58"/>
      <c r="L122" s="58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7"/>
      <c r="X122" s="41"/>
    </row>
    <row r="123" spans="1:27" x14ac:dyDescent="0.4">
      <c r="A123" s="41"/>
      <c r="B123" s="41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41"/>
      <c r="N123" s="41"/>
      <c r="O123" s="41"/>
      <c r="P123" s="148"/>
      <c r="Q123" s="152"/>
      <c r="R123" s="41"/>
      <c r="S123" s="41"/>
      <c r="T123" s="41"/>
      <c r="U123" s="41"/>
      <c r="V123" s="41"/>
      <c r="W123" s="47"/>
      <c r="X123" s="41"/>
    </row>
    <row r="124" spans="1:27" x14ac:dyDescent="0.4">
      <c r="A124" s="41"/>
      <c r="B124" s="41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41"/>
      <c r="N124" s="41"/>
      <c r="O124" s="41"/>
      <c r="P124" s="41"/>
      <c r="Q124" s="152"/>
      <c r="R124" s="41"/>
      <c r="S124" s="41"/>
      <c r="T124" s="41"/>
      <c r="U124" s="41"/>
      <c r="V124" s="41"/>
      <c r="W124" s="47"/>
      <c r="X124" s="41"/>
    </row>
    <row r="125" spans="1:27" x14ac:dyDescent="0.4">
      <c r="A125" s="41"/>
      <c r="B125" s="41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41"/>
      <c r="N125" s="41"/>
      <c r="O125" s="41"/>
      <c r="P125" s="41"/>
      <c r="Q125" s="152"/>
      <c r="R125" s="41"/>
      <c r="S125" s="41"/>
      <c r="T125" s="41"/>
      <c r="U125" s="41"/>
      <c r="V125" s="41"/>
      <c r="W125" s="47"/>
      <c r="X125" s="41"/>
    </row>
    <row r="126" spans="1:27" x14ac:dyDescent="0.4">
      <c r="A126" s="41"/>
      <c r="B126" s="41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41"/>
      <c r="N126" s="41"/>
      <c r="O126" s="41"/>
      <c r="P126" s="41"/>
      <c r="Q126" s="152"/>
      <c r="R126" s="41"/>
      <c r="S126" s="41"/>
      <c r="T126" s="41"/>
      <c r="U126" s="41"/>
      <c r="V126" s="41"/>
      <c r="W126" s="47"/>
      <c r="X126" s="41"/>
    </row>
    <row r="127" spans="1:27" x14ac:dyDescent="0.4">
      <c r="A127" s="41"/>
      <c r="B127" s="41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41"/>
      <c r="N127" s="41"/>
      <c r="O127" s="41"/>
      <c r="P127" s="41"/>
      <c r="Q127" s="152"/>
      <c r="R127" s="41"/>
      <c r="S127" s="41"/>
      <c r="T127" s="41"/>
      <c r="U127" s="41"/>
      <c r="V127" s="41"/>
      <c r="W127" s="47"/>
      <c r="X127" s="41"/>
    </row>
    <row r="128" spans="1:27" x14ac:dyDescent="0.4">
      <c r="A128" s="41"/>
      <c r="B128" s="41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41"/>
      <c r="N128" s="41"/>
      <c r="O128" s="41"/>
      <c r="P128" s="41"/>
      <c r="Q128" s="152"/>
      <c r="R128" s="41"/>
      <c r="S128" s="41"/>
      <c r="T128" s="41"/>
      <c r="U128" s="41"/>
      <c r="V128" s="41"/>
      <c r="W128" s="47"/>
      <c r="X128" s="41"/>
    </row>
    <row r="129" spans="1:24" x14ac:dyDescent="0.4">
      <c r="A129" s="41"/>
      <c r="B129" s="41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41"/>
      <c r="N129" s="41"/>
      <c r="O129" s="41"/>
      <c r="P129" s="41"/>
      <c r="Q129" s="152"/>
      <c r="R129" s="41"/>
      <c r="S129" s="41"/>
      <c r="T129" s="41"/>
      <c r="U129" s="41"/>
      <c r="V129" s="41"/>
      <c r="W129" s="47"/>
      <c r="X129" s="41"/>
    </row>
    <row r="130" spans="1:24" x14ac:dyDescent="0.4">
      <c r="A130" s="41"/>
      <c r="B130" s="41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41"/>
      <c r="N130" s="41"/>
      <c r="O130" s="41"/>
      <c r="P130" s="41"/>
      <c r="Q130" s="152"/>
      <c r="R130" s="41"/>
      <c r="S130" s="41"/>
      <c r="T130" s="41"/>
      <c r="U130" s="41"/>
      <c r="V130" s="41"/>
      <c r="W130" s="47"/>
      <c r="X130" s="41"/>
    </row>
    <row r="131" spans="1:24" x14ac:dyDescent="0.4">
      <c r="A131" s="41"/>
      <c r="B131" s="41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41"/>
      <c r="N131" s="41"/>
      <c r="O131" s="41"/>
      <c r="P131" s="41"/>
      <c r="Q131" s="152"/>
      <c r="R131" s="41"/>
      <c r="S131" s="41"/>
      <c r="T131" s="41"/>
      <c r="U131" s="41"/>
      <c r="V131" s="41"/>
      <c r="W131" s="47"/>
      <c r="X131" s="41"/>
    </row>
    <row r="132" spans="1:24" x14ac:dyDescent="0.4">
      <c r="A132" s="41"/>
      <c r="B132" s="41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41"/>
      <c r="N132" s="41"/>
      <c r="O132" s="41"/>
      <c r="P132" s="41"/>
      <c r="Q132" s="152"/>
      <c r="R132" s="41"/>
      <c r="S132" s="41"/>
      <c r="T132" s="41"/>
      <c r="U132" s="41"/>
      <c r="V132" s="41"/>
      <c r="W132" s="47"/>
      <c r="X132" s="41"/>
    </row>
    <row r="133" spans="1:24" x14ac:dyDescent="0.4">
      <c r="A133" s="41"/>
      <c r="B133" s="41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41"/>
      <c r="N133" s="41"/>
      <c r="O133" s="41"/>
      <c r="P133" s="41"/>
      <c r="Q133" s="48"/>
      <c r="R133" s="41"/>
      <c r="S133" s="41"/>
      <c r="T133" s="41"/>
      <c r="U133" s="41"/>
      <c r="V133" s="41"/>
      <c r="W133" s="47"/>
      <c r="X133" s="41"/>
    </row>
    <row r="134" spans="1:24" x14ac:dyDescent="0.4">
      <c r="A134" s="41"/>
      <c r="B134" s="41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7"/>
      <c r="X134" s="41"/>
    </row>
    <row r="135" spans="1:24" x14ac:dyDescent="0.4">
      <c r="A135" s="41"/>
      <c r="B135" s="41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7"/>
      <c r="X135" s="41"/>
    </row>
    <row r="136" spans="1:24" x14ac:dyDescent="0.4">
      <c r="A136" s="41"/>
      <c r="B136" s="41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7"/>
      <c r="X136" s="41"/>
    </row>
    <row r="137" spans="1:24" x14ac:dyDescent="0.4">
      <c r="A137" s="41"/>
      <c r="B137" s="41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7"/>
      <c r="X137" s="41"/>
    </row>
    <row r="138" spans="1:24" x14ac:dyDescent="0.4">
      <c r="A138" s="41"/>
      <c r="B138" s="41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7"/>
      <c r="X138" s="41"/>
    </row>
    <row r="139" spans="1:24" x14ac:dyDescent="0.4">
      <c r="A139" s="41"/>
      <c r="B139" s="41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7"/>
      <c r="X139" s="41"/>
    </row>
    <row r="140" spans="1:24" x14ac:dyDescent="0.4">
      <c r="A140" s="41"/>
      <c r="B140" s="41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7"/>
      <c r="X140" s="41"/>
    </row>
  </sheetData>
  <mergeCells count="236">
    <mergeCell ref="C10:D10"/>
    <mergeCell ref="E10:F10"/>
    <mergeCell ref="I10:J10"/>
    <mergeCell ref="K10:L10"/>
    <mergeCell ref="O10:P10"/>
    <mergeCell ref="Q10:R10"/>
    <mergeCell ref="C2:F2"/>
    <mergeCell ref="I2:L2"/>
    <mergeCell ref="O2:R2"/>
    <mergeCell ref="O5:P5"/>
    <mergeCell ref="Q5:R5"/>
    <mergeCell ref="O9:P9"/>
    <mergeCell ref="Q9:R9"/>
    <mergeCell ref="Q8:R8"/>
    <mergeCell ref="Q7:R7"/>
    <mergeCell ref="Q6:R6"/>
    <mergeCell ref="O6:P6"/>
    <mergeCell ref="O7:P7"/>
    <mergeCell ref="O8:P8"/>
    <mergeCell ref="C12:D12"/>
    <mergeCell ref="E12:F12"/>
    <mergeCell ref="I12:J12"/>
    <mergeCell ref="K12:L12"/>
    <mergeCell ref="O12:P12"/>
    <mergeCell ref="Q12:R12"/>
    <mergeCell ref="C11:D11"/>
    <mergeCell ref="E11:F11"/>
    <mergeCell ref="I11:J11"/>
    <mergeCell ref="K11:L11"/>
    <mergeCell ref="O11:P11"/>
    <mergeCell ref="Q11:R11"/>
    <mergeCell ref="E15:F15"/>
    <mergeCell ref="K15:L15"/>
    <mergeCell ref="C17:F17"/>
    <mergeCell ref="I17:L17"/>
    <mergeCell ref="O17:R17"/>
    <mergeCell ref="O20:P20"/>
    <mergeCell ref="Q20:R20"/>
    <mergeCell ref="C13:D13"/>
    <mergeCell ref="E13:F13"/>
    <mergeCell ref="I13:J13"/>
    <mergeCell ref="K13:L13"/>
    <mergeCell ref="C14:D14"/>
    <mergeCell ref="E14:F14"/>
    <mergeCell ref="I14:J14"/>
    <mergeCell ref="K14:L14"/>
    <mergeCell ref="O24:P24"/>
    <mergeCell ref="Q24:R24"/>
    <mergeCell ref="C23:D23"/>
    <mergeCell ref="E23:F23"/>
    <mergeCell ref="I23:J23"/>
    <mergeCell ref="K23:L23"/>
    <mergeCell ref="O23:P23"/>
    <mergeCell ref="Q23:R23"/>
    <mergeCell ref="O21:P21"/>
    <mergeCell ref="Q21:R21"/>
    <mergeCell ref="C22:D22"/>
    <mergeCell ref="E22:F22"/>
    <mergeCell ref="I22:J22"/>
    <mergeCell ref="K22:L22"/>
    <mergeCell ref="O22:P22"/>
    <mergeCell ref="Q22:R22"/>
    <mergeCell ref="C25:D25"/>
    <mergeCell ref="E25:F25"/>
    <mergeCell ref="I25:J25"/>
    <mergeCell ref="K25:L25"/>
    <mergeCell ref="C26:D26"/>
    <mergeCell ref="E26:F26"/>
    <mergeCell ref="I26:J26"/>
    <mergeCell ref="K26:L26"/>
    <mergeCell ref="C24:D24"/>
    <mergeCell ref="E24:F24"/>
    <mergeCell ref="I24:J24"/>
    <mergeCell ref="K24:L24"/>
    <mergeCell ref="E27:F27"/>
    <mergeCell ref="K27:L27"/>
    <mergeCell ref="C29:F29"/>
    <mergeCell ref="I29:L29"/>
    <mergeCell ref="O29:R29"/>
    <mergeCell ref="I35:J35"/>
    <mergeCell ref="K35:L35"/>
    <mergeCell ref="O35:P35"/>
    <mergeCell ref="Q35:R35"/>
    <mergeCell ref="O32:P32"/>
    <mergeCell ref="O33:P33"/>
    <mergeCell ref="O34:P34"/>
    <mergeCell ref="Q32:R32"/>
    <mergeCell ref="Q33:R33"/>
    <mergeCell ref="Q34:R34"/>
    <mergeCell ref="I36:J36"/>
    <mergeCell ref="K36:L36"/>
    <mergeCell ref="O36:P36"/>
    <mergeCell ref="Q36:R36"/>
    <mergeCell ref="C37:D37"/>
    <mergeCell ref="E37:F37"/>
    <mergeCell ref="I37:J37"/>
    <mergeCell ref="K37:L37"/>
    <mergeCell ref="O37:P37"/>
    <mergeCell ref="Q37:R37"/>
    <mergeCell ref="K39:L39"/>
    <mergeCell ref="O39:P39"/>
    <mergeCell ref="Q39:R39"/>
    <mergeCell ref="C38:D38"/>
    <mergeCell ref="E38:F38"/>
    <mergeCell ref="I38:J38"/>
    <mergeCell ref="K38:L38"/>
    <mergeCell ref="O38:P38"/>
    <mergeCell ref="Q38:R38"/>
    <mergeCell ref="C40:D40"/>
    <mergeCell ref="E40:F40"/>
    <mergeCell ref="C41:D41"/>
    <mergeCell ref="E41:F41"/>
    <mergeCell ref="E42:F42"/>
    <mergeCell ref="C44:F44"/>
    <mergeCell ref="C39:D39"/>
    <mergeCell ref="E39:F39"/>
    <mergeCell ref="I39:J39"/>
    <mergeCell ref="D47:F47"/>
    <mergeCell ref="J47:K47"/>
    <mergeCell ref="D48:F48"/>
    <mergeCell ref="J48:K48"/>
    <mergeCell ref="D49:F49"/>
    <mergeCell ref="J49:K49"/>
    <mergeCell ref="J44:K44"/>
    <mergeCell ref="O44:R44"/>
    <mergeCell ref="D45:F45"/>
    <mergeCell ref="J45:K45"/>
    <mergeCell ref="D46:F46"/>
    <mergeCell ref="J46:K46"/>
    <mergeCell ref="D53:F53"/>
    <mergeCell ref="I53:I54"/>
    <mergeCell ref="J53:L54"/>
    <mergeCell ref="D54:F54"/>
    <mergeCell ref="D55:F55"/>
    <mergeCell ref="J55:K55"/>
    <mergeCell ref="D50:F50"/>
    <mergeCell ref="J50:K50"/>
    <mergeCell ref="D51:F51"/>
    <mergeCell ref="J51:K51"/>
    <mergeCell ref="D52:F52"/>
    <mergeCell ref="J52:K52"/>
    <mergeCell ref="I59:K59"/>
    <mergeCell ref="O71:P71"/>
    <mergeCell ref="I72:L72"/>
    <mergeCell ref="I73:J73"/>
    <mergeCell ref="C74:D74"/>
    <mergeCell ref="E74:F74"/>
    <mergeCell ref="I74:J74"/>
    <mergeCell ref="D56:F56"/>
    <mergeCell ref="I56:L56"/>
    <mergeCell ref="C57:C58"/>
    <mergeCell ref="D57:F58"/>
    <mergeCell ref="I57:K57"/>
    <mergeCell ref="I58:K58"/>
    <mergeCell ref="C60:C61"/>
    <mergeCell ref="D60:F61"/>
    <mergeCell ref="I78:J78"/>
    <mergeCell ref="Q78:R78"/>
    <mergeCell ref="U78:X78"/>
    <mergeCell ref="C79:D79"/>
    <mergeCell ref="E79:F79"/>
    <mergeCell ref="I79:J79"/>
    <mergeCell ref="U79:X79"/>
    <mergeCell ref="I75:J75"/>
    <mergeCell ref="O75:R75"/>
    <mergeCell ref="T75:X75"/>
    <mergeCell ref="I76:J76"/>
    <mergeCell ref="O76:R77"/>
    <mergeCell ref="U76:X76"/>
    <mergeCell ref="I77:J77"/>
    <mergeCell ref="U77:X77"/>
    <mergeCell ref="I82:J82"/>
    <mergeCell ref="U82:X82"/>
    <mergeCell ref="C83:F83"/>
    <mergeCell ref="I83:J83"/>
    <mergeCell ref="G84:G86"/>
    <mergeCell ref="I84:J84"/>
    <mergeCell ref="C80:E80"/>
    <mergeCell ref="I80:J80"/>
    <mergeCell ref="O80:P80"/>
    <mergeCell ref="U80:X80"/>
    <mergeCell ref="C81:E81"/>
    <mergeCell ref="I81:J81"/>
    <mergeCell ref="U81:X81"/>
    <mergeCell ref="I87:J87"/>
    <mergeCell ref="I88:J88"/>
    <mergeCell ref="C89:D89"/>
    <mergeCell ref="E89:F89"/>
    <mergeCell ref="I89:J89"/>
    <mergeCell ref="Z84:AA84"/>
    <mergeCell ref="B85:B88"/>
    <mergeCell ref="I85:J85"/>
    <mergeCell ref="I86:J86"/>
    <mergeCell ref="G87:G89"/>
    <mergeCell ref="Z87:Z88"/>
    <mergeCell ref="AA87:AA88"/>
    <mergeCell ref="Z89:Z90"/>
    <mergeCell ref="AA89:AA90"/>
    <mergeCell ref="B90:B92"/>
    <mergeCell ref="G90:G96"/>
    <mergeCell ref="I90:J90"/>
    <mergeCell ref="I91:K91"/>
    <mergeCell ref="C93:D93"/>
    <mergeCell ref="E93:F93"/>
    <mergeCell ref="I98:J98"/>
    <mergeCell ref="B102:B104"/>
    <mergeCell ref="I102:J102"/>
    <mergeCell ref="I103:J103"/>
    <mergeCell ref="I104:J104"/>
    <mergeCell ref="I100:J100"/>
    <mergeCell ref="I93:L93"/>
    <mergeCell ref="Z93:AA93"/>
    <mergeCell ref="Z98:Z101"/>
    <mergeCell ref="AA98:AA101"/>
    <mergeCell ref="I99:J99"/>
    <mergeCell ref="B94:B96"/>
    <mergeCell ref="I94:J94"/>
    <mergeCell ref="I95:J95"/>
    <mergeCell ref="I96:J96"/>
    <mergeCell ref="C97:D97"/>
    <mergeCell ref="E97:F97"/>
    <mergeCell ref="G97:G101"/>
    <mergeCell ref="I97:J97"/>
    <mergeCell ref="B98:B100"/>
    <mergeCell ref="C101:D101"/>
    <mergeCell ref="E101:F101"/>
    <mergeCell ref="I101:J101"/>
    <mergeCell ref="Z110:Z111"/>
    <mergeCell ref="AA110:AA111"/>
    <mergeCell ref="C111:D111"/>
    <mergeCell ref="P118:P119"/>
    <mergeCell ref="C105:E105"/>
    <mergeCell ref="I105:J105"/>
    <mergeCell ref="K105:L105"/>
    <mergeCell ref="Z108:Z109"/>
    <mergeCell ref="AA108:AA109"/>
  </mergeCells>
  <phoneticPr fontId="85" type="noConversion"/>
  <pageMargins left="0.25" right="0.25" top="0.75" bottom="0.75" header="0.3" footer="0.3"/>
  <pageSetup paperSize="9" scale="1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8460D-AE47-5345-8E7C-6C071A95B661}">
  <sheetPr>
    <pageSetUpPr fitToPage="1"/>
  </sheetPr>
  <dimension ref="A1:E22"/>
  <sheetViews>
    <sheetView zoomScale="150" zoomScaleNormal="150" workbookViewId="0">
      <selection activeCell="D21" sqref="D21"/>
    </sheetView>
  </sheetViews>
  <sheetFormatPr defaultColWidth="11.42578125" defaultRowHeight="12.75" x14ac:dyDescent="0.2"/>
  <cols>
    <col min="1" max="1" width="14.42578125" bestFit="1" customWidth="1"/>
    <col min="2" max="2" width="7.28515625" bestFit="1" customWidth="1"/>
    <col min="3" max="3" width="8.28515625" bestFit="1" customWidth="1"/>
  </cols>
  <sheetData>
    <row r="1" spans="1:4" ht="13.5" thickBot="1" x14ac:dyDescent="0.25">
      <c r="A1" s="225" t="s">
        <v>72</v>
      </c>
      <c r="B1" s="264" t="s">
        <v>13</v>
      </c>
      <c r="C1" s="264" t="s">
        <v>12</v>
      </c>
      <c r="D1" s="224" t="s">
        <v>5</v>
      </c>
    </row>
    <row r="2" spans="1:4" ht="13.5" thickBot="1" x14ac:dyDescent="0.25">
      <c r="A2" s="640"/>
      <c r="B2" s="641"/>
      <c r="C2" s="641"/>
      <c r="D2" s="642"/>
    </row>
    <row r="3" spans="1:4" x14ac:dyDescent="0.2">
      <c r="A3" s="212" t="s">
        <v>73</v>
      </c>
      <c r="B3" s="222">
        <v>0</v>
      </c>
      <c r="C3" s="215">
        <v>5</v>
      </c>
      <c r="D3" s="214">
        <f>B3*C3</f>
        <v>0</v>
      </c>
    </row>
    <row r="4" spans="1:4" ht="13.5" thickBot="1" x14ac:dyDescent="0.25">
      <c r="A4" s="213" t="s">
        <v>74</v>
      </c>
      <c r="B4" s="223">
        <v>0</v>
      </c>
      <c r="C4" s="216">
        <v>2</v>
      </c>
      <c r="D4" s="273">
        <f>B4*C4</f>
        <v>0</v>
      </c>
    </row>
    <row r="5" spans="1:4" ht="13.5" thickBot="1" x14ac:dyDescent="0.25">
      <c r="A5" s="263"/>
      <c r="B5" s="274"/>
      <c r="C5" s="211" t="s">
        <v>5</v>
      </c>
      <c r="D5" s="275">
        <f>D3+D4</f>
        <v>0</v>
      </c>
    </row>
    <row r="6" spans="1:4" x14ac:dyDescent="0.2">
      <c r="A6" s="208"/>
      <c r="D6" s="209"/>
    </row>
    <row r="7" spans="1:4" ht="13.5" thickBot="1" x14ac:dyDescent="0.25">
      <c r="A7" s="208"/>
      <c r="D7" s="209"/>
    </row>
    <row r="8" spans="1:4" ht="13.5" thickBot="1" x14ac:dyDescent="0.25">
      <c r="A8" s="637" t="s">
        <v>4</v>
      </c>
      <c r="B8" s="638"/>
      <c r="C8" s="638"/>
      <c r="D8" s="639"/>
    </row>
    <row r="9" spans="1:4" ht="13.5" thickBot="1" x14ac:dyDescent="0.25">
      <c r="A9" s="217" t="s">
        <v>88</v>
      </c>
      <c r="B9" s="276">
        <v>5</v>
      </c>
      <c r="C9" s="277">
        <v>75</v>
      </c>
      <c r="D9" s="220">
        <f>B9*C9</f>
        <v>375</v>
      </c>
    </row>
    <row r="10" spans="1:4" x14ac:dyDescent="0.2">
      <c r="A10" s="208"/>
      <c r="D10" s="210"/>
    </row>
    <row r="11" spans="1:4" ht="13.5" thickBot="1" x14ac:dyDescent="0.25">
      <c r="A11" s="208"/>
      <c r="D11" s="210"/>
    </row>
    <row r="12" spans="1:4" ht="13.5" thickBot="1" x14ac:dyDescent="0.25">
      <c r="A12" s="221" t="s">
        <v>80</v>
      </c>
      <c r="B12" s="276">
        <v>2</v>
      </c>
      <c r="C12" s="276">
        <v>90</v>
      </c>
      <c r="D12" s="220">
        <f>B12*C12</f>
        <v>180</v>
      </c>
    </row>
    <row r="13" spans="1:4" ht="13.5" thickBot="1" x14ac:dyDescent="0.25">
      <c r="A13" s="208"/>
      <c r="D13" s="209"/>
    </row>
    <row r="14" spans="1:4" ht="13.5" thickBot="1" x14ac:dyDescent="0.25">
      <c r="A14" s="278" t="s">
        <v>79</v>
      </c>
      <c r="B14" s="218">
        <v>0</v>
      </c>
      <c r="D14" s="279"/>
    </row>
    <row r="15" spans="1:4" ht="13.5" thickBot="1" x14ac:dyDescent="0.25">
      <c r="A15" s="217" t="s">
        <v>1</v>
      </c>
      <c r="B15" s="280">
        <v>0</v>
      </c>
      <c r="D15" s="209"/>
    </row>
    <row r="16" spans="1:4" ht="13.5" thickBot="1" x14ac:dyDescent="0.25">
      <c r="A16" s="281" t="s">
        <v>5</v>
      </c>
      <c r="B16" s="219">
        <f>B14+B15</f>
        <v>0</v>
      </c>
      <c r="C16" s="245" t="s">
        <v>96</v>
      </c>
      <c r="D16" s="246">
        <f>D5-D9-D12</f>
        <v>-555</v>
      </c>
    </row>
    <row r="22" spans="4:5" x14ac:dyDescent="0.2">
      <c r="D22" s="226"/>
      <c r="E22" s="226"/>
    </row>
  </sheetData>
  <mergeCells count="2">
    <mergeCell ref="A8:D8"/>
    <mergeCell ref="A2:D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C96B-26A0-4478-833B-59211BCE68FC}">
  <dimension ref="A1:B34"/>
  <sheetViews>
    <sheetView zoomScale="110" zoomScaleNormal="110" workbookViewId="0">
      <selection activeCell="B5" sqref="B5"/>
    </sheetView>
  </sheetViews>
  <sheetFormatPr defaultRowHeight="12.75" x14ac:dyDescent="0.2"/>
  <cols>
    <col min="1" max="1" width="39.140625" customWidth="1"/>
    <col min="2" max="2" width="14.5703125" customWidth="1"/>
  </cols>
  <sheetData>
    <row r="1" spans="1:2" ht="16.5" thickBot="1" x14ac:dyDescent="0.25">
      <c r="A1" s="643" t="s">
        <v>150</v>
      </c>
      <c r="B1" s="644"/>
    </row>
    <row r="2" spans="1:2" ht="16.5" thickBot="1" x14ac:dyDescent="0.3">
      <c r="A2" s="265"/>
      <c r="B2" s="265"/>
    </row>
    <row r="3" spans="1:2" ht="15.75" x14ac:dyDescent="0.25">
      <c r="A3" s="339" t="s">
        <v>132</v>
      </c>
      <c r="B3" s="271">
        <f>GESTIONE!E74</f>
        <v>0</v>
      </c>
    </row>
    <row r="4" spans="1:2" ht="15.75" x14ac:dyDescent="0.25">
      <c r="A4" s="291" t="s">
        <v>116</v>
      </c>
      <c r="B4" s="272">
        <f>GESTIONE!E79</f>
        <v>0</v>
      </c>
    </row>
    <row r="5" spans="1:2" ht="15.75" x14ac:dyDescent="0.25">
      <c r="A5" s="338" t="s">
        <v>131</v>
      </c>
      <c r="B5" s="272">
        <f>GUARDAROBA!D16</f>
        <v>-555</v>
      </c>
    </row>
    <row r="6" spans="1:2" ht="15.75" x14ac:dyDescent="0.25">
      <c r="A6" s="291" t="s">
        <v>10</v>
      </c>
      <c r="B6" s="272">
        <v>500</v>
      </c>
    </row>
    <row r="7" spans="1:2" ht="15.75" x14ac:dyDescent="0.25">
      <c r="A7" s="291" t="s">
        <v>11</v>
      </c>
      <c r="B7" s="272">
        <v>500</v>
      </c>
    </row>
    <row r="8" spans="1:2" ht="15.75" x14ac:dyDescent="0.25">
      <c r="A8" s="291" t="s">
        <v>17</v>
      </c>
      <c r="B8" s="272">
        <v>250</v>
      </c>
    </row>
    <row r="9" spans="1:2" ht="15.75" x14ac:dyDescent="0.25">
      <c r="A9" s="337" t="s">
        <v>87</v>
      </c>
      <c r="B9" s="272">
        <v>0</v>
      </c>
    </row>
    <row r="10" spans="1:2" ht="15.75" x14ac:dyDescent="0.25">
      <c r="A10" s="343" t="s">
        <v>134</v>
      </c>
      <c r="B10" s="272">
        <v>0</v>
      </c>
    </row>
    <row r="11" spans="1:2" ht="15.75" x14ac:dyDescent="0.25">
      <c r="A11" s="356" t="s">
        <v>136</v>
      </c>
      <c r="B11" s="272">
        <v>0</v>
      </c>
    </row>
    <row r="12" spans="1:2" ht="15.75" x14ac:dyDescent="0.25">
      <c r="A12" s="349" t="s">
        <v>121</v>
      </c>
      <c r="B12" s="283">
        <v>0</v>
      </c>
    </row>
    <row r="13" spans="1:2" ht="15.75" x14ac:dyDescent="0.25">
      <c r="A13" s="355"/>
      <c r="B13" s="283"/>
    </row>
    <row r="14" spans="1:2" ht="15.75" x14ac:dyDescent="0.25">
      <c r="A14" s="345"/>
      <c r="B14" s="283"/>
    </row>
    <row r="15" spans="1:2" ht="15.75" x14ac:dyDescent="0.25">
      <c r="A15" s="344"/>
      <c r="B15" s="283"/>
    </row>
    <row r="16" spans="1:2" ht="15.75" x14ac:dyDescent="0.25">
      <c r="A16" s="344"/>
      <c r="B16" s="283"/>
    </row>
    <row r="17" spans="1:2" ht="15.75" x14ac:dyDescent="0.25">
      <c r="A17" s="344"/>
      <c r="B17" s="283"/>
    </row>
    <row r="18" spans="1:2" ht="15.75" x14ac:dyDescent="0.25">
      <c r="A18" s="282"/>
      <c r="B18" s="283"/>
    </row>
    <row r="19" spans="1:2" ht="16.5" thickBot="1" x14ac:dyDescent="0.3">
      <c r="A19" s="292"/>
      <c r="B19" s="284"/>
    </row>
    <row r="20" spans="1:2" ht="16.5" thickBot="1" x14ac:dyDescent="0.3">
      <c r="A20" s="265"/>
      <c r="B20" s="266"/>
    </row>
    <row r="21" spans="1:2" ht="16.5" thickBot="1" x14ac:dyDescent="0.3">
      <c r="A21" s="265"/>
      <c r="B21" s="267">
        <f>SUM(B3:B19)</f>
        <v>695</v>
      </c>
    </row>
    <row r="22" spans="1:2" ht="16.5" thickBot="1" x14ac:dyDescent="0.3">
      <c r="A22" s="265"/>
      <c r="B22" s="266"/>
    </row>
    <row r="23" spans="1:2" ht="16.5" thickBot="1" x14ac:dyDescent="0.3">
      <c r="A23" s="290" t="s">
        <v>113</v>
      </c>
      <c r="B23" s="266"/>
    </row>
    <row r="24" spans="1:2" ht="16.5" thickBot="1" x14ac:dyDescent="0.3">
      <c r="A24" s="265"/>
      <c r="B24" s="266"/>
    </row>
    <row r="25" spans="1:2" ht="15.75" x14ac:dyDescent="0.25">
      <c r="A25" s="285" t="s">
        <v>122</v>
      </c>
      <c r="B25" s="286">
        <f>GESTIONE!D56</f>
        <v>0</v>
      </c>
    </row>
    <row r="26" spans="1:2" ht="15.75" x14ac:dyDescent="0.25">
      <c r="A26" s="340" t="s">
        <v>133</v>
      </c>
      <c r="B26" s="341">
        <v>0</v>
      </c>
    </row>
    <row r="27" spans="1:2" ht="15.75" x14ac:dyDescent="0.25">
      <c r="A27" s="340" t="s">
        <v>137</v>
      </c>
      <c r="B27" s="341">
        <v>0</v>
      </c>
    </row>
    <row r="28" spans="1:2" ht="15.75" x14ac:dyDescent="0.25">
      <c r="A28" s="287" t="s">
        <v>130</v>
      </c>
      <c r="B28" s="288">
        <v>0</v>
      </c>
    </row>
    <row r="29" spans="1:2" ht="15.75" x14ac:dyDescent="0.25">
      <c r="A29" s="357"/>
      <c r="B29" s="288"/>
    </row>
    <row r="30" spans="1:2" ht="16.5" thickBot="1" x14ac:dyDescent="0.3">
      <c r="A30" s="342"/>
      <c r="B30" s="289"/>
    </row>
    <row r="31" spans="1:2" ht="16.5" thickBot="1" x14ac:dyDescent="0.3">
      <c r="A31" s="265"/>
      <c r="B31" s="266"/>
    </row>
    <row r="32" spans="1:2" ht="16.5" thickBot="1" x14ac:dyDescent="0.3">
      <c r="A32" s="265"/>
      <c r="B32" s="267">
        <f>SUM(B25:B30)</f>
        <v>0</v>
      </c>
    </row>
    <row r="33" spans="1:2" ht="16.5" thickBot="1" x14ac:dyDescent="0.3">
      <c r="A33" s="265"/>
      <c r="B33" s="266"/>
    </row>
    <row r="34" spans="1:2" ht="19.5" thickBot="1" x14ac:dyDescent="0.35">
      <c r="A34" s="268" t="s">
        <v>114</v>
      </c>
      <c r="B34" s="269">
        <f>B21-B32</f>
        <v>695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4E66-D09D-48C3-A6B2-6F93F9B81E7A}">
  <dimension ref="A1:E44"/>
  <sheetViews>
    <sheetView topLeftCell="A2" zoomScale="80" zoomScaleNormal="80" workbookViewId="0">
      <selection activeCell="E35" sqref="E35"/>
    </sheetView>
  </sheetViews>
  <sheetFormatPr defaultRowHeight="12.75" x14ac:dyDescent="0.2"/>
  <cols>
    <col min="1" max="1" width="25.28515625" bestFit="1" customWidth="1"/>
    <col min="2" max="2" width="9.140625" style="293"/>
    <col min="3" max="3" width="14.85546875" customWidth="1"/>
    <col min="4" max="4" width="14.5703125" customWidth="1"/>
    <col min="5" max="5" width="16" customWidth="1"/>
  </cols>
  <sheetData>
    <row r="1" spans="1:2" ht="21" customHeight="1" x14ac:dyDescent="0.2">
      <c r="A1" s="293" t="s">
        <v>151</v>
      </c>
    </row>
    <row r="2" spans="1:2" ht="13.5" thickBot="1" x14ac:dyDescent="0.25"/>
    <row r="3" spans="1:2" s="329" customFormat="1" ht="20.25" customHeight="1" x14ac:dyDescent="0.2">
      <c r="A3" s="352"/>
      <c r="B3" s="222"/>
    </row>
    <row r="4" spans="1:2" s="329" customFormat="1" ht="20.25" customHeight="1" x14ac:dyDescent="0.2">
      <c r="A4" s="353"/>
      <c r="B4" s="332"/>
    </row>
    <row r="5" spans="1:2" s="329" customFormat="1" ht="20.25" customHeight="1" x14ac:dyDescent="0.2">
      <c r="A5" s="353"/>
      <c r="B5" s="332"/>
    </row>
    <row r="6" spans="1:2" s="329" customFormat="1" ht="20.25" customHeight="1" x14ac:dyDescent="0.2">
      <c r="A6" s="353"/>
      <c r="B6" s="332"/>
    </row>
    <row r="7" spans="1:2" s="329" customFormat="1" ht="20.25" customHeight="1" x14ac:dyDescent="0.2">
      <c r="A7" s="353"/>
      <c r="B7" s="332"/>
    </row>
    <row r="8" spans="1:2" s="329" customFormat="1" ht="20.25" customHeight="1" x14ac:dyDescent="0.2">
      <c r="A8" s="353"/>
      <c r="B8" s="332"/>
    </row>
    <row r="9" spans="1:2" s="329" customFormat="1" ht="20.25" customHeight="1" x14ac:dyDescent="0.2">
      <c r="A9" s="353"/>
      <c r="B9" s="332"/>
    </row>
    <row r="10" spans="1:2" s="329" customFormat="1" ht="20.25" customHeight="1" x14ac:dyDescent="0.2">
      <c r="A10" s="353"/>
      <c r="B10" s="332"/>
    </row>
    <row r="11" spans="1:2" s="329" customFormat="1" ht="20.25" customHeight="1" x14ac:dyDescent="0.2">
      <c r="A11" s="353"/>
      <c r="B11" s="332"/>
    </row>
    <row r="12" spans="1:2" s="329" customFormat="1" ht="20.25" customHeight="1" x14ac:dyDescent="0.2">
      <c r="A12" s="353"/>
      <c r="B12" s="332"/>
    </row>
    <row r="13" spans="1:2" s="329" customFormat="1" ht="20.25" customHeight="1" x14ac:dyDescent="0.2">
      <c r="A13" s="353"/>
      <c r="B13" s="332"/>
    </row>
    <row r="14" spans="1:2" s="329" customFormat="1" ht="20.25" customHeight="1" x14ac:dyDescent="0.2">
      <c r="A14" s="353"/>
      <c r="B14" s="332"/>
    </row>
    <row r="15" spans="1:2" s="329" customFormat="1" ht="20.25" customHeight="1" x14ac:dyDescent="0.2">
      <c r="A15" s="353"/>
      <c r="B15" s="332"/>
    </row>
    <row r="16" spans="1:2" s="329" customFormat="1" ht="20.25" customHeight="1" x14ac:dyDescent="0.2">
      <c r="A16" s="353"/>
      <c r="B16" s="332"/>
    </row>
    <row r="17" spans="1:3" s="329" customFormat="1" ht="20.25" customHeight="1" x14ac:dyDescent="0.2">
      <c r="A17" s="353"/>
      <c r="B17" s="332"/>
    </row>
    <row r="18" spans="1:3" s="329" customFormat="1" ht="20.25" customHeight="1" x14ac:dyDescent="0.2">
      <c r="A18" s="353"/>
      <c r="B18" s="332"/>
    </row>
    <row r="19" spans="1:3" s="329" customFormat="1" ht="20.25" customHeight="1" x14ac:dyDescent="0.2">
      <c r="A19" s="353"/>
      <c r="B19" s="332"/>
    </row>
    <row r="20" spans="1:3" s="329" customFormat="1" ht="20.25" customHeight="1" x14ac:dyDescent="0.2">
      <c r="A20" s="353"/>
      <c r="B20" s="332"/>
    </row>
    <row r="21" spans="1:3" s="329" customFormat="1" ht="20.25" customHeight="1" x14ac:dyDescent="0.2">
      <c r="A21" s="353"/>
      <c r="B21" s="332"/>
    </row>
    <row r="22" spans="1:3" ht="20.25" customHeight="1" x14ac:dyDescent="0.2">
      <c r="A22" s="353"/>
      <c r="B22" s="332"/>
      <c r="C22" s="329"/>
    </row>
    <row r="23" spans="1:3" ht="20.25" customHeight="1" x14ac:dyDescent="0.2">
      <c r="A23" s="353"/>
      <c r="B23" s="332"/>
      <c r="C23" s="329"/>
    </row>
    <row r="24" spans="1:3" ht="20.25" customHeight="1" x14ac:dyDescent="0.2">
      <c r="A24" s="353"/>
      <c r="B24" s="332"/>
      <c r="C24" s="329"/>
    </row>
    <row r="25" spans="1:3" ht="20.25" customHeight="1" x14ac:dyDescent="0.2">
      <c r="A25" s="353"/>
      <c r="B25" s="332"/>
      <c r="C25" s="329"/>
    </row>
    <row r="26" spans="1:3" ht="20.25" customHeight="1" x14ac:dyDescent="0.2">
      <c r="A26" s="353"/>
      <c r="B26" s="332"/>
      <c r="C26" s="329"/>
    </row>
    <row r="27" spans="1:3" ht="20.25" customHeight="1" x14ac:dyDescent="0.2">
      <c r="A27" s="353"/>
      <c r="B27" s="332"/>
      <c r="C27" s="329"/>
    </row>
    <row r="28" spans="1:3" ht="20.25" customHeight="1" x14ac:dyDescent="0.2">
      <c r="A28" s="353"/>
      <c r="B28" s="332"/>
      <c r="C28" s="329"/>
    </row>
    <row r="29" spans="1:3" ht="20.25" customHeight="1" x14ac:dyDescent="0.2">
      <c r="A29" s="353"/>
      <c r="B29" s="332"/>
      <c r="C29" s="329"/>
    </row>
    <row r="30" spans="1:3" ht="20.25" customHeight="1" x14ac:dyDescent="0.2">
      <c r="A30" s="353"/>
      <c r="B30" s="332"/>
      <c r="C30" s="329"/>
    </row>
    <row r="31" spans="1:3" ht="20.25" customHeight="1" x14ac:dyDescent="0.2">
      <c r="A31" s="353"/>
      <c r="B31" s="332"/>
      <c r="C31" s="329"/>
    </row>
    <row r="32" spans="1:3" ht="20.25" customHeight="1" x14ac:dyDescent="0.2">
      <c r="A32" s="353"/>
      <c r="B32" s="332"/>
      <c r="C32" s="329"/>
    </row>
    <row r="33" spans="1:5" ht="20.25" customHeight="1" thickBot="1" x14ac:dyDescent="0.25">
      <c r="A33" s="353"/>
      <c r="B33" s="332"/>
      <c r="C33" s="329"/>
    </row>
    <row r="34" spans="1:5" ht="20.25" customHeight="1" thickBot="1" x14ac:dyDescent="0.25">
      <c r="A34" s="354"/>
      <c r="B34" s="223"/>
      <c r="C34" s="329"/>
      <c r="D34" s="330" t="s">
        <v>5</v>
      </c>
      <c r="E34" s="331">
        <f>'RESOCONTO PROPRIETA'!B11</f>
        <v>0</v>
      </c>
    </row>
    <row r="35" spans="1:5" ht="20.25" customHeight="1" x14ac:dyDescent="0.2">
      <c r="A35" s="351"/>
    </row>
    <row r="36" spans="1:5" ht="20.25" customHeight="1" x14ac:dyDescent="0.2">
      <c r="A36" s="351"/>
    </row>
    <row r="37" spans="1:5" ht="20.25" customHeight="1" x14ac:dyDescent="0.2">
      <c r="A37" s="351"/>
      <c r="C37" s="329"/>
    </row>
    <row r="38" spans="1:5" ht="20.25" customHeight="1" x14ac:dyDescent="0.2"/>
    <row r="39" spans="1:5" ht="20.25" customHeight="1" x14ac:dyDescent="0.2"/>
    <row r="40" spans="1:5" ht="20.25" customHeight="1" x14ac:dyDescent="0.2"/>
    <row r="41" spans="1:5" ht="20.25" customHeight="1" x14ac:dyDescent="0.2"/>
    <row r="42" spans="1:5" ht="20.25" customHeight="1" x14ac:dyDescent="0.2"/>
    <row r="43" spans="1:5" ht="20.25" customHeight="1" x14ac:dyDescent="0.2"/>
    <row r="44" spans="1:5" ht="20.25" customHeight="1" x14ac:dyDescent="0.2"/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GESTIONE</vt:lpstr>
      <vt:lpstr>GUARDAROBA</vt:lpstr>
      <vt:lpstr>RESOCONTO PROPRIETA</vt:lpstr>
      <vt:lpstr>PRESENZE PERSONALE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Esposito</dc:creator>
  <cp:lastModifiedBy>Antonio Avella</cp:lastModifiedBy>
  <cp:lastPrinted>2024-12-26T05:24:40Z</cp:lastPrinted>
  <dcterms:created xsi:type="dcterms:W3CDTF">2017-03-12T00:58:40Z</dcterms:created>
  <dcterms:modified xsi:type="dcterms:W3CDTF">2026-05-05T15:44:55Z</dcterms:modified>
</cp:coreProperties>
</file>